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Venci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1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5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Controle de Vencimentos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Na aba Vencimentos, liste tudo que tem data: impostos e guias, contas fixas, contratos, alvarás e licenças, certificado digital, seguros, mensalidades de sistemas.</t>
        </is>
      </c>
    </row>
    <row r="6">
      <c r="A6" s="4" t="n">
        <v>2</v>
      </c>
      <c r="B6" s="5" t="inlineStr">
        <is>
          <t>Preencha a Data de vencimento e, em Avisar com, quantos dias antes você quer ser alertado (padrão: 7).</t>
        </is>
      </c>
    </row>
    <row r="7">
      <c r="A7" s="4" t="n">
        <v>3</v>
      </c>
      <c r="B7" s="5" t="inlineStr">
        <is>
          <t>A Situação se atualiza todo dia sozinha: vermelho = VENCIDO, amarelo = VENCE EM BREVE, verde = no prazo.</t>
        </is>
      </c>
    </row>
    <row r="8">
      <c r="A8" s="4" t="n">
        <v>4</v>
      </c>
      <c r="B8" s="5" t="inlineStr">
        <is>
          <t>Quando pagar ou renovar, mude o Status para Feito. Se for recorrente, a coluna Próximo vencimento mostra a nova data: lance uma nova linha com ela.</t>
        </is>
      </c>
    </row>
    <row r="9">
      <c r="A9" s="4" t="n">
        <v>5</v>
      </c>
      <c r="B9" s="5" t="inlineStr">
        <is>
          <t>Abra a planilha toda segunda-feira e olhe o Painel: ele mostra o que vence nos próximos 7 e 30 dias e quanto vai sair do caixa.</t>
        </is>
      </c>
    </row>
    <row r="11">
      <c r="B11" s="3" t="inlineStr">
        <is>
          <t>Legenda das colunas</t>
        </is>
      </c>
    </row>
    <row r="12">
      <c r="B12" s="6" t="inlineStr">
        <is>
          <t>Cabeçalho azul escuro: você preenche.</t>
        </is>
      </c>
    </row>
    <row r="13">
      <c r="B13" s="7" t="inlineStr">
        <is>
          <t>Cabeçalho azul claro: calculado automaticamente, não precisa mexer.</t>
        </is>
      </c>
    </row>
    <row r="15">
      <c r="B15" s="3" t="inlineStr">
        <is>
          <t>Dicas</t>
        </is>
      </c>
    </row>
    <row r="16">
      <c r="B16" s="5" t="inlineStr">
        <is>
          <t>• As datas de impostos (DAS, DARF, guias estaduais e municipais) mudam conforme o regime e a cidade. Confirme as suas com o seu contador antes de cadastrar.</t>
        </is>
      </c>
    </row>
    <row r="17">
      <c r="B17" s="5" t="inlineStr">
        <is>
          <t>• Certificado digital e alvarás costumam levar dias para renovar: use um aviso maior (30 dias) para eles.</t>
        </is>
      </c>
    </row>
    <row r="18">
      <c r="B18" s="5" t="inlineStr">
        <is>
          <t>• Use a coluna Responsável quando mais de uma pessoa cuida das contas.</t>
        </is>
      </c>
    </row>
    <row r="20">
      <c r="B20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de Vencimentos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Itens VENCIDOS</t>
        </is>
      </c>
      <c r="B4" s="10">
        <f>COUNTIF(Vencimentos!$J$5:$J$504,"VENCIDO")</f>
        <v/>
      </c>
    </row>
    <row r="5" ht="24" customHeight="1">
      <c r="A5" s="9" t="inlineStr">
        <is>
          <t>Itens que VENCEM EM BREVE</t>
        </is>
      </c>
      <c r="B5" s="10">
        <f>COUNTIF(Vencimentos!$J$5:$J$504,"VENCE EM BREVE")</f>
        <v/>
      </c>
    </row>
    <row r="6" ht="24" customHeight="1">
      <c r="A6" s="9" t="inlineStr">
        <is>
          <t>Valor vencido e não pago</t>
        </is>
      </c>
      <c r="B6" s="11">
        <f>SUMIFS(Vencimentos!$E$5:$E$504,Vencimentos!$J$5:$J$504,"VENCIDO")</f>
        <v/>
      </c>
    </row>
    <row r="7" ht="24" customHeight="1">
      <c r="A7" s="9" t="inlineStr">
        <is>
          <t>A pagar nos próximos 7 dias</t>
        </is>
      </c>
      <c r="B7" s="11">
        <f>SUMIFS(Vencimentos!$E$5:$E$504,Vencimentos!$D$5:$D$504,"&gt;="&amp;TODAY(),Vencimentos!$D$5:$D$504,"&lt;="&amp;(TODAY()+7),Vencimentos!$H$5:$H$504,"&lt;&gt;Feito")</f>
        <v/>
      </c>
    </row>
    <row r="8" ht="24" customHeight="1">
      <c r="A8" s="9" t="inlineStr">
        <is>
          <t>A pagar nos próximos 30 dias</t>
        </is>
      </c>
      <c r="B8" s="11">
        <f>SUMIFS(Vencimentos!$E$5:$E$504,Vencimentos!$D$5:$D$504,"&gt;="&amp;TODAY(),Vencimentos!$D$5:$D$504,"&lt;="&amp;(TODAY()+30),Vencimentos!$H$5:$H$504,"&lt;&gt;Feito")</f>
        <v/>
      </c>
    </row>
    <row r="9" ht="24" customHeight="1">
      <c r="A9" s="9" t="inlineStr">
        <is>
          <t>Itens pendentes cadastrados</t>
        </is>
      </c>
      <c r="B9" s="10">
        <f>SUMPRODUCT((Vencimentos!$A$5:$A$504&lt;&gt;"")*(Vencimentos!$H$5:$H$504&lt;&gt;"Feito"))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0" customWidth="1" min="9" max="9"/>
    <col width="17" customWidth="1" min="10" max="10"/>
    <col width="13" customWidth="1" min="11" max="11"/>
    <col width="30" customWidth="1" min="12" max="12"/>
  </cols>
  <sheetData>
    <row r="1" ht="28" customHeight="1">
      <c r="A1" s="1" t="inlineStr">
        <is>
          <t>Vencimentos</t>
        </is>
      </c>
    </row>
    <row r="2">
      <c r="A2" s="2" t="inlineStr">
        <is>
          <t>Tudo que tem prazo: impostos, contas, contratos, licenças.</t>
        </is>
      </c>
    </row>
    <row r="4" ht="32" customHeight="1">
      <c r="A4" s="12" t="inlineStr">
        <is>
          <t>Item</t>
        </is>
      </c>
      <c r="B4" s="12" t="inlineStr">
        <is>
          <t>Categoria</t>
        </is>
      </c>
      <c r="C4" s="12" t="inlineStr">
        <is>
          <t>Responsável</t>
        </is>
      </c>
      <c r="D4" s="12" t="inlineStr">
        <is>
          <t>Data de vencimento</t>
        </is>
      </c>
      <c r="E4" s="12" t="inlineStr">
        <is>
          <t>Valor</t>
        </is>
      </c>
      <c r="F4" s="12" t="inlineStr">
        <is>
          <t>Recorrência</t>
        </is>
      </c>
      <c r="G4" s="12" t="inlineStr">
        <is>
          <t>Avisar com (dias)</t>
        </is>
      </c>
      <c r="H4" s="12" t="inlineStr">
        <is>
          <t>Status</t>
        </is>
      </c>
      <c r="I4" s="13" t="inlineStr">
        <is>
          <t>Dias restantes</t>
        </is>
      </c>
      <c r="J4" s="13" t="inlineStr">
        <is>
          <t>Situação</t>
        </is>
      </c>
      <c r="K4" s="13" t="inlineStr">
        <is>
          <t>Próximo vencimento</t>
        </is>
      </c>
      <c r="L4" s="12" t="inlineStr">
        <is>
          <t>Observação</t>
        </is>
      </c>
    </row>
    <row r="5">
      <c r="A5" s="14" t="inlineStr">
        <is>
          <t>DAS (Simples Nacional)</t>
        </is>
      </c>
      <c r="B5" s="14" t="inlineStr">
        <is>
          <t>Imposto / guia</t>
        </is>
      </c>
      <c r="C5" s="14" t="inlineStr">
        <is>
          <t>Contador</t>
        </is>
      </c>
      <c r="D5" s="15">
        <f>TODAY()+(5)</f>
        <v/>
      </c>
      <c r="E5" s="16" t="n">
        <v>412.35</v>
      </c>
      <c r="F5" s="14" t="inlineStr">
        <is>
          <t>Mensal</t>
        </is>
      </c>
      <c r="G5" s="17" t="n">
        <v>5</v>
      </c>
      <c r="H5" s="14" t="inlineStr">
        <is>
          <t>Pendente</t>
        </is>
      </c>
      <c r="I5" s="17">
        <f>IF(OR(A5="",D5="",H5="Feito"),"",D5-TODAY())</f>
        <v/>
      </c>
      <c r="J5" s="14">
        <f>IF(OR(A5="",D5=""),"",IF(H5="Feito","FEITO",IF(I5&lt;0,"VENCIDO",IF(I5&lt;=IF(G5="",7,G5),"VENCE EM BREVE","No prazo"))))</f>
        <v/>
      </c>
      <c r="K5" s="15">
        <f>IF(OR(D5="",F5="",F5="Única"),"",EDATE(D5,IF(F5="Mensal",1,IF(F5="Trimestral",3,IF(F5="Semestral",6,12)))))</f>
        <v/>
      </c>
      <c r="L5" s="14" t="inlineStr">
        <is>
          <t>conferir valor com o contador</t>
        </is>
      </c>
    </row>
    <row r="6">
      <c r="A6" s="14" t="inlineStr">
        <is>
          <t>Aluguel da loja</t>
        </is>
      </c>
      <c r="B6" s="14" t="inlineStr">
        <is>
          <t>Conta fixa</t>
        </is>
      </c>
      <c r="C6" s="14" t="inlineStr">
        <is>
          <t>Sócio</t>
        </is>
      </c>
      <c r="D6" s="15">
        <f>TODAY()+(2)</f>
        <v/>
      </c>
      <c r="E6" s="16" t="n">
        <v>2800</v>
      </c>
      <c r="F6" s="14" t="inlineStr">
        <is>
          <t>Mensal</t>
        </is>
      </c>
      <c r="G6" s="17" t="n">
        <v>5</v>
      </c>
      <c r="H6" s="14" t="inlineStr">
        <is>
          <t>Pendente</t>
        </is>
      </c>
      <c r="I6" s="17">
        <f>IF(OR(A6="",D6="",H6="Feito"),"",D6-TODAY())</f>
        <v/>
      </c>
      <c r="J6" s="14">
        <f>IF(OR(A6="",D6=""),"",IF(H6="Feito","FEITO",IF(I6&lt;0,"VENCIDO",IF(I6&lt;=IF(G6="",7,G6),"VENCE EM BREVE","No prazo"))))</f>
        <v/>
      </c>
      <c r="K6" s="15">
        <f>IF(OR(D6="",F6="",F6="Única"),"",EDATE(D6,IF(F6="Mensal",1,IF(F6="Trimestral",3,IF(F6="Semestral",6,12)))))</f>
        <v/>
      </c>
      <c r="L6" s="14" t="inlineStr"/>
    </row>
    <row r="7">
      <c r="A7" s="14" t="inlineStr">
        <is>
          <t>Energia elétrica</t>
        </is>
      </c>
      <c r="B7" s="14" t="inlineStr">
        <is>
          <t>Conta fixa</t>
        </is>
      </c>
      <c r="C7" s="14" t="inlineStr">
        <is>
          <t>Sócio</t>
        </is>
      </c>
      <c r="D7" s="15">
        <f>TODAY()+(-1)</f>
        <v/>
      </c>
      <c r="E7" s="16" t="n">
        <v>389.9</v>
      </c>
      <c r="F7" s="14" t="inlineStr">
        <is>
          <t>Mensal</t>
        </is>
      </c>
      <c r="G7" s="17" t="n">
        <v>3</v>
      </c>
      <c r="H7" s="14" t="inlineStr">
        <is>
          <t>Pendente</t>
        </is>
      </c>
      <c r="I7" s="17">
        <f>IF(OR(A7="",D7="",H7="Feito"),"",D7-TODAY())</f>
        <v/>
      </c>
      <c r="J7" s="14">
        <f>IF(OR(A7="",D7=""),"",IF(H7="Feito","FEITO",IF(I7&lt;0,"VENCIDO",IF(I7&lt;=IF(G7="",7,G7),"VENCE EM BREVE","No prazo"))))</f>
        <v/>
      </c>
      <c r="K7" s="15">
        <f>IF(OR(D7="",F7="",F7="Única"),"",EDATE(D7,IF(F7="Mensal",1,IF(F7="Trimestral",3,IF(F7="Semestral",6,12)))))</f>
        <v/>
      </c>
      <c r="L7" s="14" t="inlineStr"/>
    </row>
    <row r="8">
      <c r="A8" s="14" t="inlineStr">
        <is>
          <t>Internet</t>
        </is>
      </c>
      <c r="B8" s="14" t="inlineStr">
        <is>
          <t>Conta fixa</t>
        </is>
      </c>
      <c r="C8" s="14" t="inlineStr">
        <is>
          <t>Sócio</t>
        </is>
      </c>
      <c r="D8" s="15">
        <f>TODAY()+(12)</f>
        <v/>
      </c>
      <c r="E8" s="16" t="n">
        <v>129.9</v>
      </c>
      <c r="F8" s="14" t="inlineStr">
        <is>
          <t>Mensal</t>
        </is>
      </c>
      <c r="G8" s="17" t="n">
        <v>3</v>
      </c>
      <c r="H8" s="14" t="inlineStr">
        <is>
          <t>Pendente</t>
        </is>
      </c>
      <c r="I8" s="17">
        <f>IF(OR(A8="",D8="",H8="Feito"),"",D8-TODAY())</f>
        <v/>
      </c>
      <c r="J8" s="14">
        <f>IF(OR(A8="",D8=""),"",IF(H8="Feito","FEITO",IF(I8&lt;0,"VENCIDO",IF(I8&lt;=IF(G8="",7,G8),"VENCE EM BREVE","No prazo"))))</f>
        <v/>
      </c>
      <c r="K8" s="15">
        <f>IF(OR(D8="",F8="",F8="Única"),"",EDATE(D8,IF(F8="Mensal",1,IF(F8="Trimestral",3,IF(F8="Semestral",6,12)))))</f>
        <v/>
      </c>
      <c r="L8" s="14" t="inlineStr"/>
    </row>
    <row r="9">
      <c r="A9" s="14" t="inlineStr">
        <is>
          <t>Certificado digital A1</t>
        </is>
      </c>
      <c r="B9" s="14" t="inlineStr">
        <is>
          <t>Certificado digital</t>
        </is>
      </c>
      <c r="C9" s="14" t="inlineStr">
        <is>
          <t>Sócio</t>
        </is>
      </c>
      <c r="D9" s="15">
        <f>TODAY()+(25)</f>
        <v/>
      </c>
      <c r="E9" s="16" t="n">
        <v>220</v>
      </c>
      <c r="F9" s="14" t="inlineStr">
        <is>
          <t>Anual</t>
        </is>
      </c>
      <c r="G9" s="17" t="n">
        <v>30</v>
      </c>
      <c r="H9" s="14" t="inlineStr">
        <is>
          <t>Pendente</t>
        </is>
      </c>
      <c r="I9" s="17">
        <f>IF(OR(A9="",D9="",H9="Feito"),"",D9-TODAY())</f>
        <v/>
      </c>
      <c r="J9" s="14">
        <f>IF(OR(A9="",D9=""),"",IF(H9="Feito","FEITO",IF(I9&lt;0,"VENCIDO",IF(I9&lt;=IF(G9="",7,G9),"VENCE EM BREVE","No prazo"))))</f>
        <v/>
      </c>
      <c r="K9" s="15">
        <f>IF(OR(D9="",F9="",F9="Única"),"",EDATE(D9,IF(F9="Mensal",1,IF(F9="Trimestral",3,IF(F9="Semestral",6,12)))))</f>
        <v/>
      </c>
      <c r="L9" s="14" t="inlineStr">
        <is>
          <t>renovar com antecedência</t>
        </is>
      </c>
    </row>
    <row r="10">
      <c r="A10" s="14" t="inlineStr">
        <is>
          <t>Alvará de funcionamento</t>
        </is>
      </c>
      <c r="B10" s="14" t="inlineStr">
        <is>
          <t>Alvará / licença</t>
        </is>
      </c>
      <c r="C10" s="14" t="inlineStr">
        <is>
          <t>Contador</t>
        </is>
      </c>
      <c r="D10" s="15">
        <f>TODAY()+(60)</f>
        <v/>
      </c>
      <c r="E10" s="16" t="n">
        <v>0</v>
      </c>
      <c r="F10" s="14" t="inlineStr">
        <is>
          <t>Anual</t>
        </is>
      </c>
      <c r="G10" s="17" t="n">
        <v>30</v>
      </c>
      <c r="H10" s="14" t="inlineStr">
        <is>
          <t>Pendente</t>
        </is>
      </c>
      <c r="I10" s="17">
        <f>IF(OR(A10="",D10="",H10="Feito"),"",D10-TODAY())</f>
        <v/>
      </c>
      <c r="J10" s="14">
        <f>IF(OR(A10="",D10=""),"",IF(H10="Feito","FEITO",IF(I10&lt;0,"VENCIDO",IF(I10&lt;=IF(G10="",7,G10),"VENCE EM BREVE","No prazo"))))</f>
        <v/>
      </c>
      <c r="K10" s="15">
        <f>IF(OR(D10="",F10="",F10="Única"),"",EDATE(D10,IF(F10="Mensal",1,IF(F10="Trimestral",3,IF(F10="Semestral",6,12)))))</f>
        <v/>
      </c>
      <c r="L10" s="14" t="inlineStr"/>
    </row>
    <row r="11">
      <c r="A11" s="14" t="inlineStr">
        <is>
          <t>Contrato do sistema de vendas</t>
        </is>
      </c>
      <c r="B11" s="14" t="inlineStr">
        <is>
          <t>Sistema / assinatura</t>
        </is>
      </c>
      <c r="C11" s="14" t="inlineStr">
        <is>
          <t>Sócio</t>
        </is>
      </c>
      <c r="D11" s="15">
        <f>TODAY()+(40)</f>
        <v/>
      </c>
      <c r="E11" s="16" t="n">
        <v>99</v>
      </c>
      <c r="F11" s="14" t="inlineStr">
        <is>
          <t>Mensal</t>
        </is>
      </c>
      <c r="G11" s="17" t="n">
        <v>7</v>
      </c>
      <c r="H11" s="14" t="inlineStr">
        <is>
          <t>Pendente</t>
        </is>
      </c>
      <c r="I11" s="17">
        <f>IF(OR(A11="",D11="",H11="Feito"),"",D11-TODAY())</f>
        <v/>
      </c>
      <c r="J11" s="14">
        <f>IF(OR(A11="",D11=""),"",IF(H11="Feito","FEITO",IF(I11&lt;0,"VENCIDO",IF(I11&lt;=IF(G11="",7,G11),"VENCE EM BREVE","No prazo"))))</f>
        <v/>
      </c>
      <c r="K11" s="15">
        <f>IF(OR(D11="",F11="",F11="Única"),"",EDATE(D11,IF(F11="Mensal",1,IF(F11="Trimestral",3,IF(F11="Semestral",6,12)))))</f>
        <v/>
      </c>
      <c r="L11" s="14" t="inlineStr"/>
    </row>
    <row r="12">
      <c r="A12" s="14" t="inlineStr">
        <is>
          <t>Seguro do estabelecimento</t>
        </is>
      </c>
      <c r="B12" s="14" t="inlineStr">
        <is>
          <t>Seguro</t>
        </is>
      </c>
      <c r="C12" s="14" t="inlineStr">
        <is>
          <t>Sócio</t>
        </is>
      </c>
      <c r="D12" s="15">
        <f>TODAY()+(-10)</f>
        <v/>
      </c>
      <c r="E12" s="16" t="n">
        <v>1450</v>
      </c>
      <c r="F12" s="14" t="inlineStr">
        <is>
          <t>Anual</t>
        </is>
      </c>
      <c r="G12" s="17" t="n">
        <v>15</v>
      </c>
      <c r="H12" s="14" t="inlineStr">
        <is>
          <t>Feito</t>
        </is>
      </c>
      <c r="I12" s="17">
        <f>IF(OR(A12="",D12="",H12="Feito"),"",D12-TODAY())</f>
        <v/>
      </c>
      <c r="J12" s="14">
        <f>IF(OR(A12="",D12=""),"",IF(H12="Feito","FEITO",IF(I12&lt;0,"VENCIDO",IF(I12&lt;=IF(G12="",7,G12),"VENCE EM BREVE","No prazo"))))</f>
        <v/>
      </c>
      <c r="K12" s="15">
        <f>IF(OR(D12="",F12="",F12="Única"),"",EDATE(D12,IF(F12="Mensal",1,IF(F12="Trimestral",3,IF(F12="Semestral",6,12)))))</f>
        <v/>
      </c>
      <c r="L12" s="14" t="inlineStr">
        <is>
          <t>renovado</t>
        </is>
      </c>
    </row>
    <row r="13">
      <c r="A13" s="14" t="n"/>
      <c r="B13" s="14" t="n"/>
      <c r="C13" s="14" t="n"/>
      <c r="D13" s="15" t="n"/>
      <c r="E13" s="16" t="n"/>
      <c r="F13" s="14" t="n"/>
      <c r="G13" s="17" t="n"/>
      <c r="H13" s="14" t="n"/>
      <c r="I13" s="17">
        <f>IF(OR(A13="",D13="",H13="Feito"),"",D13-TODAY())</f>
        <v/>
      </c>
      <c r="J13" s="14">
        <f>IF(OR(A13="",D13=""),"",IF(H13="Feito","FEITO",IF(I13&lt;0,"VENCIDO",IF(I13&lt;=IF(G13="",7,G13),"VENCE EM BREVE","No prazo"))))</f>
        <v/>
      </c>
      <c r="K13" s="15">
        <f>IF(OR(D13="",F13="",F13="Única"),"",EDATE(D13,IF(F13="Mensal",1,IF(F13="Trimestral",3,IF(F13="Semestral",6,12)))))</f>
        <v/>
      </c>
      <c r="L13" s="14" t="n"/>
    </row>
    <row r="14">
      <c r="A14" s="14" t="n"/>
      <c r="B14" s="14" t="n"/>
      <c r="C14" s="14" t="n"/>
      <c r="D14" s="15" t="n"/>
      <c r="E14" s="16" t="n"/>
      <c r="F14" s="14" t="n"/>
      <c r="G14" s="17" t="n"/>
      <c r="H14" s="14" t="n"/>
      <c r="I14" s="17">
        <f>IF(OR(A14="",D14="",H14="Feito"),"",D14-TODAY())</f>
        <v/>
      </c>
      <c r="J14" s="14">
        <f>IF(OR(A14="",D14=""),"",IF(H14="Feito","FEITO",IF(I14&lt;0,"VENCIDO",IF(I14&lt;=IF(G14="",7,G14),"VENCE EM BREVE","No prazo"))))</f>
        <v/>
      </c>
      <c r="K14" s="15">
        <f>IF(OR(D14="",F14="",F14="Única"),"",EDATE(D14,IF(F14="Mensal",1,IF(F14="Trimestral",3,IF(F14="Semestral",6,12)))))</f>
        <v/>
      </c>
      <c r="L14" s="14" t="n"/>
    </row>
    <row r="15">
      <c r="A15" s="14" t="n"/>
      <c r="B15" s="14" t="n"/>
      <c r="C15" s="14" t="n"/>
      <c r="D15" s="15" t="n"/>
      <c r="E15" s="16" t="n"/>
      <c r="F15" s="14" t="n"/>
      <c r="G15" s="17" t="n"/>
      <c r="H15" s="14" t="n"/>
      <c r="I15" s="17">
        <f>IF(OR(A15="",D15="",H15="Feito"),"",D15-TODAY())</f>
        <v/>
      </c>
      <c r="J15" s="14">
        <f>IF(OR(A15="",D15=""),"",IF(H15="Feito","FEITO",IF(I15&lt;0,"VENCIDO",IF(I15&lt;=IF(G15="",7,G15),"VENCE EM BREVE","No prazo"))))</f>
        <v/>
      </c>
      <c r="K15" s="15">
        <f>IF(OR(D15="",F15="",F15="Única"),"",EDATE(D15,IF(F15="Mensal",1,IF(F15="Trimestral",3,IF(F15="Semestral",6,12)))))</f>
        <v/>
      </c>
      <c r="L15" s="14" t="n"/>
    </row>
    <row r="16">
      <c r="A16" s="14" t="n"/>
      <c r="B16" s="14" t="n"/>
      <c r="C16" s="14" t="n"/>
      <c r="D16" s="15" t="n"/>
      <c r="E16" s="16" t="n"/>
      <c r="F16" s="14" t="n"/>
      <c r="G16" s="17" t="n"/>
      <c r="H16" s="14" t="n"/>
      <c r="I16" s="17">
        <f>IF(OR(A16="",D16="",H16="Feito"),"",D16-TODAY())</f>
        <v/>
      </c>
      <c r="J16" s="14">
        <f>IF(OR(A16="",D16=""),"",IF(H16="Feito","FEITO",IF(I16&lt;0,"VENCIDO",IF(I16&lt;=IF(G16="",7,G16),"VENCE EM BREVE","No prazo"))))</f>
        <v/>
      </c>
      <c r="K16" s="15">
        <f>IF(OR(D16="",F16="",F16="Única"),"",EDATE(D16,IF(F16="Mensal",1,IF(F16="Trimestral",3,IF(F16="Semestral",6,12)))))</f>
        <v/>
      </c>
      <c r="L16" s="14" t="n"/>
    </row>
    <row r="17">
      <c r="A17" s="14" t="n"/>
      <c r="B17" s="14" t="n"/>
      <c r="C17" s="14" t="n"/>
      <c r="D17" s="15" t="n"/>
      <c r="E17" s="16" t="n"/>
      <c r="F17" s="14" t="n"/>
      <c r="G17" s="17" t="n"/>
      <c r="H17" s="14" t="n"/>
      <c r="I17" s="17">
        <f>IF(OR(A17="",D17="",H17="Feito"),"",D17-TODAY())</f>
        <v/>
      </c>
      <c r="J17" s="14">
        <f>IF(OR(A17="",D17=""),"",IF(H17="Feito","FEITO",IF(I17&lt;0,"VENCIDO",IF(I17&lt;=IF(G17="",7,G17),"VENCE EM BREVE","No prazo"))))</f>
        <v/>
      </c>
      <c r="K17" s="15">
        <f>IF(OR(D17="",F17="",F17="Única"),"",EDATE(D17,IF(F17="Mensal",1,IF(F17="Trimestral",3,IF(F17="Semestral",6,12)))))</f>
        <v/>
      </c>
      <c r="L17" s="14" t="n"/>
    </row>
    <row r="18">
      <c r="A18" s="14" t="n"/>
      <c r="B18" s="14" t="n"/>
      <c r="C18" s="14" t="n"/>
      <c r="D18" s="15" t="n"/>
      <c r="E18" s="16" t="n"/>
      <c r="F18" s="14" t="n"/>
      <c r="G18" s="17" t="n"/>
      <c r="H18" s="14" t="n"/>
      <c r="I18" s="17">
        <f>IF(OR(A18="",D18="",H18="Feito"),"",D18-TODAY())</f>
        <v/>
      </c>
      <c r="J18" s="14">
        <f>IF(OR(A18="",D18=""),"",IF(H18="Feito","FEITO",IF(I18&lt;0,"VENCIDO",IF(I18&lt;=IF(G18="",7,G18),"VENCE EM BREVE","No prazo"))))</f>
        <v/>
      </c>
      <c r="K18" s="15">
        <f>IF(OR(D18="",F18="",F18="Única"),"",EDATE(D18,IF(F18="Mensal",1,IF(F18="Trimestral",3,IF(F18="Semestral",6,12)))))</f>
        <v/>
      </c>
      <c r="L18" s="14" t="n"/>
    </row>
    <row r="19">
      <c r="A19" s="14" t="n"/>
      <c r="B19" s="14" t="n"/>
      <c r="C19" s="14" t="n"/>
      <c r="D19" s="15" t="n"/>
      <c r="E19" s="16" t="n"/>
      <c r="F19" s="14" t="n"/>
      <c r="G19" s="17" t="n"/>
      <c r="H19" s="14" t="n"/>
      <c r="I19" s="17">
        <f>IF(OR(A19="",D19="",H19="Feito"),"",D19-TODAY())</f>
        <v/>
      </c>
      <c r="J19" s="14">
        <f>IF(OR(A19="",D19=""),"",IF(H19="Feito","FEITO",IF(I19&lt;0,"VENCIDO",IF(I19&lt;=IF(G19="",7,G19),"VENCE EM BREVE","No prazo"))))</f>
        <v/>
      </c>
      <c r="K19" s="15">
        <f>IF(OR(D19="",F19="",F19="Única"),"",EDATE(D19,IF(F19="Mensal",1,IF(F19="Trimestral",3,IF(F19="Semestral",6,12)))))</f>
        <v/>
      </c>
      <c r="L19" s="14" t="n"/>
    </row>
    <row r="20">
      <c r="A20" s="14" t="n"/>
      <c r="B20" s="14" t="n"/>
      <c r="C20" s="14" t="n"/>
      <c r="D20" s="15" t="n"/>
      <c r="E20" s="16" t="n"/>
      <c r="F20" s="14" t="n"/>
      <c r="G20" s="17" t="n"/>
      <c r="H20" s="14" t="n"/>
      <c r="I20" s="17">
        <f>IF(OR(A20="",D20="",H20="Feito"),"",D20-TODAY())</f>
        <v/>
      </c>
      <c r="J20" s="14">
        <f>IF(OR(A20="",D20=""),"",IF(H20="Feito","FEITO",IF(I20&lt;0,"VENCIDO",IF(I20&lt;=IF(G20="",7,G20),"VENCE EM BREVE","No prazo"))))</f>
        <v/>
      </c>
      <c r="K20" s="15">
        <f>IF(OR(D20="",F20="",F20="Única"),"",EDATE(D20,IF(F20="Mensal",1,IF(F20="Trimestral",3,IF(F20="Semestral",6,12)))))</f>
        <v/>
      </c>
      <c r="L20" s="14" t="n"/>
    </row>
    <row r="21">
      <c r="A21" s="14" t="n"/>
      <c r="B21" s="14" t="n"/>
      <c r="C21" s="14" t="n"/>
      <c r="D21" s="15" t="n"/>
      <c r="E21" s="16" t="n"/>
      <c r="F21" s="14" t="n"/>
      <c r="G21" s="17" t="n"/>
      <c r="H21" s="14" t="n"/>
      <c r="I21" s="17">
        <f>IF(OR(A21="",D21="",H21="Feito"),"",D21-TODAY())</f>
        <v/>
      </c>
      <c r="J21" s="14">
        <f>IF(OR(A21="",D21=""),"",IF(H21="Feito","FEITO",IF(I21&lt;0,"VENCIDO",IF(I21&lt;=IF(G21="",7,G21),"VENCE EM BREVE","No prazo"))))</f>
        <v/>
      </c>
      <c r="K21" s="15">
        <f>IF(OR(D21="",F21="",F21="Única"),"",EDATE(D21,IF(F21="Mensal",1,IF(F21="Trimestral",3,IF(F21="Semestral",6,12)))))</f>
        <v/>
      </c>
      <c r="L21" s="14" t="n"/>
    </row>
    <row r="22">
      <c r="A22" s="14" t="n"/>
      <c r="B22" s="14" t="n"/>
      <c r="C22" s="14" t="n"/>
      <c r="D22" s="15" t="n"/>
      <c r="E22" s="16" t="n"/>
      <c r="F22" s="14" t="n"/>
      <c r="G22" s="17" t="n"/>
      <c r="H22" s="14" t="n"/>
      <c r="I22" s="17">
        <f>IF(OR(A22="",D22="",H22="Feito"),"",D22-TODAY())</f>
        <v/>
      </c>
      <c r="J22" s="14">
        <f>IF(OR(A22="",D22=""),"",IF(H22="Feito","FEITO",IF(I22&lt;0,"VENCIDO",IF(I22&lt;=IF(G22="",7,G22),"VENCE EM BREVE","No prazo"))))</f>
        <v/>
      </c>
      <c r="K22" s="15">
        <f>IF(OR(D22="",F22="",F22="Única"),"",EDATE(D22,IF(F22="Mensal",1,IF(F22="Trimestral",3,IF(F22="Semestral",6,12)))))</f>
        <v/>
      </c>
      <c r="L22" s="14" t="n"/>
    </row>
    <row r="23">
      <c r="A23" s="14" t="n"/>
      <c r="B23" s="14" t="n"/>
      <c r="C23" s="14" t="n"/>
      <c r="D23" s="15" t="n"/>
      <c r="E23" s="16" t="n"/>
      <c r="F23" s="14" t="n"/>
      <c r="G23" s="17" t="n"/>
      <c r="H23" s="14" t="n"/>
      <c r="I23" s="17">
        <f>IF(OR(A23="",D23="",H23="Feito"),"",D23-TODAY())</f>
        <v/>
      </c>
      <c r="J23" s="14">
        <f>IF(OR(A23="",D23=""),"",IF(H23="Feito","FEITO",IF(I23&lt;0,"VENCIDO",IF(I23&lt;=IF(G23="",7,G23),"VENCE EM BREVE","No prazo"))))</f>
        <v/>
      </c>
      <c r="K23" s="15">
        <f>IF(OR(D23="",F23="",F23="Única"),"",EDATE(D23,IF(F23="Mensal",1,IF(F23="Trimestral",3,IF(F23="Semestral",6,12)))))</f>
        <v/>
      </c>
      <c r="L23" s="14" t="n"/>
    </row>
    <row r="24">
      <c r="A24" s="14" t="n"/>
      <c r="B24" s="14" t="n"/>
      <c r="C24" s="14" t="n"/>
      <c r="D24" s="15" t="n"/>
      <c r="E24" s="16" t="n"/>
      <c r="F24" s="14" t="n"/>
      <c r="G24" s="17" t="n"/>
      <c r="H24" s="14" t="n"/>
      <c r="I24" s="17">
        <f>IF(OR(A24="",D24="",H24="Feito"),"",D24-TODAY())</f>
        <v/>
      </c>
      <c r="J24" s="14">
        <f>IF(OR(A24="",D24=""),"",IF(H24="Feito","FEITO",IF(I24&lt;0,"VENCIDO",IF(I24&lt;=IF(G24="",7,G24),"VENCE EM BREVE","No prazo"))))</f>
        <v/>
      </c>
      <c r="K24" s="15">
        <f>IF(OR(D24="",F24="",F24="Única"),"",EDATE(D24,IF(F24="Mensal",1,IF(F24="Trimestral",3,IF(F24="Semestral",6,12)))))</f>
        <v/>
      </c>
      <c r="L24" s="14" t="n"/>
    </row>
    <row r="25">
      <c r="A25" s="14" t="n"/>
      <c r="B25" s="14" t="n"/>
      <c r="C25" s="14" t="n"/>
      <c r="D25" s="15" t="n"/>
      <c r="E25" s="16" t="n"/>
      <c r="F25" s="14" t="n"/>
      <c r="G25" s="17" t="n"/>
      <c r="H25" s="14" t="n"/>
      <c r="I25" s="17">
        <f>IF(OR(A25="",D25="",H25="Feito"),"",D25-TODAY())</f>
        <v/>
      </c>
      <c r="J25" s="14">
        <f>IF(OR(A25="",D25=""),"",IF(H25="Feito","FEITO",IF(I25&lt;0,"VENCIDO",IF(I25&lt;=IF(G25="",7,G25),"VENCE EM BREVE","No prazo"))))</f>
        <v/>
      </c>
      <c r="K25" s="15">
        <f>IF(OR(D25="",F25="",F25="Única"),"",EDATE(D25,IF(F25="Mensal",1,IF(F25="Trimestral",3,IF(F25="Semestral",6,12)))))</f>
        <v/>
      </c>
      <c r="L25" s="14" t="n"/>
    </row>
    <row r="26">
      <c r="A26" s="14" t="n"/>
      <c r="B26" s="14" t="n"/>
      <c r="C26" s="14" t="n"/>
      <c r="D26" s="15" t="n"/>
      <c r="E26" s="16" t="n"/>
      <c r="F26" s="14" t="n"/>
      <c r="G26" s="17" t="n"/>
      <c r="H26" s="14" t="n"/>
      <c r="I26" s="17">
        <f>IF(OR(A26="",D26="",H26="Feito"),"",D26-TODAY())</f>
        <v/>
      </c>
      <c r="J26" s="14">
        <f>IF(OR(A26="",D26=""),"",IF(H26="Feito","FEITO",IF(I26&lt;0,"VENCIDO",IF(I26&lt;=IF(G26="",7,G26),"VENCE EM BREVE","No prazo"))))</f>
        <v/>
      </c>
      <c r="K26" s="15">
        <f>IF(OR(D26="",F26="",F26="Única"),"",EDATE(D26,IF(F26="Mensal",1,IF(F26="Trimestral",3,IF(F26="Semestral",6,12)))))</f>
        <v/>
      </c>
      <c r="L26" s="14" t="n"/>
    </row>
    <row r="27">
      <c r="A27" s="14" t="n"/>
      <c r="B27" s="14" t="n"/>
      <c r="C27" s="14" t="n"/>
      <c r="D27" s="15" t="n"/>
      <c r="E27" s="16" t="n"/>
      <c r="F27" s="14" t="n"/>
      <c r="G27" s="17" t="n"/>
      <c r="H27" s="14" t="n"/>
      <c r="I27" s="17">
        <f>IF(OR(A27="",D27="",H27="Feito"),"",D27-TODAY())</f>
        <v/>
      </c>
      <c r="J27" s="14">
        <f>IF(OR(A27="",D27=""),"",IF(H27="Feito","FEITO",IF(I27&lt;0,"VENCIDO",IF(I27&lt;=IF(G27="",7,G27),"VENCE EM BREVE","No prazo"))))</f>
        <v/>
      </c>
      <c r="K27" s="15">
        <f>IF(OR(D27="",F27="",F27="Única"),"",EDATE(D27,IF(F27="Mensal",1,IF(F27="Trimestral",3,IF(F27="Semestral",6,12)))))</f>
        <v/>
      </c>
      <c r="L27" s="14" t="n"/>
    </row>
    <row r="28">
      <c r="A28" s="14" t="n"/>
      <c r="B28" s="14" t="n"/>
      <c r="C28" s="14" t="n"/>
      <c r="D28" s="15" t="n"/>
      <c r="E28" s="16" t="n"/>
      <c r="F28" s="14" t="n"/>
      <c r="G28" s="17" t="n"/>
      <c r="H28" s="14" t="n"/>
      <c r="I28" s="17">
        <f>IF(OR(A28="",D28="",H28="Feito"),"",D28-TODAY())</f>
        <v/>
      </c>
      <c r="J28" s="14">
        <f>IF(OR(A28="",D28=""),"",IF(H28="Feito","FEITO",IF(I28&lt;0,"VENCIDO",IF(I28&lt;=IF(G28="",7,G28),"VENCE EM BREVE","No prazo"))))</f>
        <v/>
      </c>
      <c r="K28" s="15">
        <f>IF(OR(D28="",F28="",F28="Única"),"",EDATE(D28,IF(F28="Mensal",1,IF(F28="Trimestral",3,IF(F28="Semestral",6,12)))))</f>
        <v/>
      </c>
      <c r="L28" s="14" t="n"/>
    </row>
    <row r="29">
      <c r="A29" s="14" t="n"/>
      <c r="B29" s="14" t="n"/>
      <c r="C29" s="14" t="n"/>
      <c r="D29" s="15" t="n"/>
      <c r="E29" s="16" t="n"/>
      <c r="F29" s="14" t="n"/>
      <c r="G29" s="17" t="n"/>
      <c r="H29" s="14" t="n"/>
      <c r="I29" s="17">
        <f>IF(OR(A29="",D29="",H29="Feito"),"",D29-TODAY())</f>
        <v/>
      </c>
      <c r="J29" s="14">
        <f>IF(OR(A29="",D29=""),"",IF(H29="Feito","FEITO",IF(I29&lt;0,"VENCIDO",IF(I29&lt;=IF(G29="",7,G29),"VENCE EM BREVE","No prazo"))))</f>
        <v/>
      </c>
      <c r="K29" s="15">
        <f>IF(OR(D29="",F29="",F29="Única"),"",EDATE(D29,IF(F29="Mensal",1,IF(F29="Trimestral",3,IF(F29="Semestral",6,12)))))</f>
        <v/>
      </c>
      <c r="L29" s="14" t="n"/>
    </row>
    <row r="30">
      <c r="A30" s="14" t="n"/>
      <c r="B30" s="14" t="n"/>
      <c r="C30" s="14" t="n"/>
      <c r="D30" s="15" t="n"/>
      <c r="E30" s="16" t="n"/>
      <c r="F30" s="14" t="n"/>
      <c r="G30" s="17" t="n"/>
      <c r="H30" s="14" t="n"/>
      <c r="I30" s="17">
        <f>IF(OR(A30="",D30="",H30="Feito"),"",D30-TODAY())</f>
        <v/>
      </c>
      <c r="J30" s="14">
        <f>IF(OR(A30="",D30=""),"",IF(H30="Feito","FEITO",IF(I30&lt;0,"VENCIDO",IF(I30&lt;=IF(G30="",7,G30),"VENCE EM BREVE","No prazo"))))</f>
        <v/>
      </c>
      <c r="K30" s="15">
        <f>IF(OR(D30="",F30="",F30="Única"),"",EDATE(D30,IF(F30="Mensal",1,IF(F30="Trimestral",3,IF(F30="Semestral",6,12)))))</f>
        <v/>
      </c>
      <c r="L30" s="14" t="n"/>
    </row>
    <row r="31">
      <c r="A31" s="14" t="n"/>
      <c r="B31" s="14" t="n"/>
      <c r="C31" s="14" t="n"/>
      <c r="D31" s="15" t="n"/>
      <c r="E31" s="16" t="n"/>
      <c r="F31" s="14" t="n"/>
      <c r="G31" s="17" t="n"/>
      <c r="H31" s="14" t="n"/>
      <c r="I31" s="17">
        <f>IF(OR(A31="",D31="",H31="Feito"),"",D31-TODAY())</f>
        <v/>
      </c>
      <c r="J31" s="14">
        <f>IF(OR(A31="",D31=""),"",IF(H31="Feito","FEITO",IF(I31&lt;0,"VENCIDO",IF(I31&lt;=IF(G31="",7,G31),"VENCE EM BREVE","No prazo"))))</f>
        <v/>
      </c>
      <c r="K31" s="15">
        <f>IF(OR(D31="",F31="",F31="Única"),"",EDATE(D31,IF(F31="Mensal",1,IF(F31="Trimestral",3,IF(F31="Semestral",6,12)))))</f>
        <v/>
      </c>
      <c r="L31" s="14" t="n"/>
    </row>
    <row r="32">
      <c r="A32" s="14" t="n"/>
      <c r="B32" s="14" t="n"/>
      <c r="C32" s="14" t="n"/>
      <c r="D32" s="15" t="n"/>
      <c r="E32" s="16" t="n"/>
      <c r="F32" s="14" t="n"/>
      <c r="G32" s="17" t="n"/>
      <c r="H32" s="14" t="n"/>
      <c r="I32" s="17">
        <f>IF(OR(A32="",D32="",H32="Feito"),"",D32-TODAY())</f>
        <v/>
      </c>
      <c r="J32" s="14">
        <f>IF(OR(A32="",D32=""),"",IF(H32="Feito","FEITO",IF(I32&lt;0,"VENCIDO",IF(I32&lt;=IF(G32="",7,G32),"VENCE EM BREVE","No prazo"))))</f>
        <v/>
      </c>
      <c r="K32" s="15">
        <f>IF(OR(D32="",F32="",F32="Única"),"",EDATE(D32,IF(F32="Mensal",1,IF(F32="Trimestral",3,IF(F32="Semestral",6,12)))))</f>
        <v/>
      </c>
      <c r="L32" s="14" t="n"/>
    </row>
    <row r="33">
      <c r="A33" s="14" t="n"/>
      <c r="B33" s="14" t="n"/>
      <c r="C33" s="14" t="n"/>
      <c r="D33" s="15" t="n"/>
      <c r="E33" s="16" t="n"/>
      <c r="F33" s="14" t="n"/>
      <c r="G33" s="17" t="n"/>
      <c r="H33" s="14" t="n"/>
      <c r="I33" s="17">
        <f>IF(OR(A33="",D33="",H33="Feito"),"",D33-TODAY())</f>
        <v/>
      </c>
      <c r="J33" s="14">
        <f>IF(OR(A33="",D33=""),"",IF(H33="Feito","FEITO",IF(I33&lt;0,"VENCIDO",IF(I33&lt;=IF(G33="",7,G33),"VENCE EM BREVE","No prazo"))))</f>
        <v/>
      </c>
      <c r="K33" s="15">
        <f>IF(OR(D33="",F33="",F33="Única"),"",EDATE(D33,IF(F33="Mensal",1,IF(F33="Trimestral",3,IF(F33="Semestral",6,12)))))</f>
        <v/>
      </c>
      <c r="L33" s="14" t="n"/>
    </row>
    <row r="34">
      <c r="A34" s="14" t="n"/>
      <c r="B34" s="14" t="n"/>
      <c r="C34" s="14" t="n"/>
      <c r="D34" s="15" t="n"/>
      <c r="E34" s="16" t="n"/>
      <c r="F34" s="14" t="n"/>
      <c r="G34" s="17" t="n"/>
      <c r="H34" s="14" t="n"/>
      <c r="I34" s="17">
        <f>IF(OR(A34="",D34="",H34="Feito"),"",D34-TODAY())</f>
        <v/>
      </c>
      <c r="J34" s="14">
        <f>IF(OR(A34="",D34=""),"",IF(H34="Feito","FEITO",IF(I34&lt;0,"VENCIDO",IF(I34&lt;=IF(G34="",7,G34),"VENCE EM BREVE","No prazo"))))</f>
        <v/>
      </c>
      <c r="K34" s="15">
        <f>IF(OR(D34="",F34="",F34="Única"),"",EDATE(D34,IF(F34="Mensal",1,IF(F34="Trimestral",3,IF(F34="Semestral",6,12)))))</f>
        <v/>
      </c>
      <c r="L34" s="14" t="n"/>
    </row>
    <row r="35">
      <c r="A35" s="14" t="n"/>
      <c r="B35" s="14" t="n"/>
      <c r="C35" s="14" t="n"/>
      <c r="D35" s="15" t="n"/>
      <c r="E35" s="16" t="n"/>
      <c r="F35" s="14" t="n"/>
      <c r="G35" s="17" t="n"/>
      <c r="H35" s="14" t="n"/>
      <c r="I35" s="17">
        <f>IF(OR(A35="",D35="",H35="Feito"),"",D35-TODAY())</f>
        <v/>
      </c>
      <c r="J35" s="14">
        <f>IF(OR(A35="",D35=""),"",IF(H35="Feito","FEITO",IF(I35&lt;0,"VENCIDO",IF(I35&lt;=IF(G35="",7,G35),"VENCE EM BREVE","No prazo"))))</f>
        <v/>
      </c>
      <c r="K35" s="15">
        <f>IF(OR(D35="",F35="",F35="Única"),"",EDATE(D35,IF(F35="Mensal",1,IF(F35="Trimestral",3,IF(F35="Semestral",6,12)))))</f>
        <v/>
      </c>
      <c r="L35" s="14" t="n"/>
    </row>
    <row r="36">
      <c r="A36" s="14" t="n"/>
      <c r="B36" s="14" t="n"/>
      <c r="C36" s="14" t="n"/>
      <c r="D36" s="15" t="n"/>
      <c r="E36" s="16" t="n"/>
      <c r="F36" s="14" t="n"/>
      <c r="G36" s="17" t="n"/>
      <c r="H36" s="14" t="n"/>
      <c r="I36" s="17">
        <f>IF(OR(A36="",D36="",H36="Feito"),"",D36-TODAY())</f>
        <v/>
      </c>
      <c r="J36" s="14">
        <f>IF(OR(A36="",D36=""),"",IF(H36="Feito","FEITO",IF(I36&lt;0,"VENCIDO",IF(I36&lt;=IF(G36="",7,G36),"VENCE EM BREVE","No prazo"))))</f>
        <v/>
      </c>
      <c r="K36" s="15">
        <f>IF(OR(D36="",F36="",F36="Única"),"",EDATE(D36,IF(F36="Mensal",1,IF(F36="Trimestral",3,IF(F36="Semestral",6,12)))))</f>
        <v/>
      </c>
      <c r="L36" s="14" t="n"/>
    </row>
    <row r="37">
      <c r="A37" s="14" t="n"/>
      <c r="B37" s="14" t="n"/>
      <c r="C37" s="14" t="n"/>
      <c r="D37" s="15" t="n"/>
      <c r="E37" s="16" t="n"/>
      <c r="F37" s="14" t="n"/>
      <c r="G37" s="17" t="n"/>
      <c r="H37" s="14" t="n"/>
      <c r="I37" s="17">
        <f>IF(OR(A37="",D37="",H37="Feito"),"",D37-TODAY())</f>
        <v/>
      </c>
      <c r="J37" s="14">
        <f>IF(OR(A37="",D37=""),"",IF(H37="Feito","FEITO",IF(I37&lt;0,"VENCIDO",IF(I37&lt;=IF(G37="",7,G37),"VENCE EM BREVE","No prazo"))))</f>
        <v/>
      </c>
      <c r="K37" s="15">
        <f>IF(OR(D37="",F37="",F37="Única"),"",EDATE(D37,IF(F37="Mensal",1,IF(F37="Trimestral",3,IF(F37="Semestral",6,12)))))</f>
        <v/>
      </c>
      <c r="L37" s="14" t="n"/>
    </row>
    <row r="38">
      <c r="A38" s="14" t="n"/>
      <c r="B38" s="14" t="n"/>
      <c r="C38" s="14" t="n"/>
      <c r="D38" s="15" t="n"/>
      <c r="E38" s="16" t="n"/>
      <c r="F38" s="14" t="n"/>
      <c r="G38" s="17" t="n"/>
      <c r="H38" s="14" t="n"/>
      <c r="I38" s="17">
        <f>IF(OR(A38="",D38="",H38="Feito"),"",D38-TODAY())</f>
        <v/>
      </c>
      <c r="J38" s="14">
        <f>IF(OR(A38="",D38=""),"",IF(H38="Feito","FEITO",IF(I38&lt;0,"VENCIDO",IF(I38&lt;=IF(G38="",7,G38),"VENCE EM BREVE","No prazo"))))</f>
        <v/>
      </c>
      <c r="K38" s="15">
        <f>IF(OR(D38="",F38="",F38="Única"),"",EDATE(D38,IF(F38="Mensal",1,IF(F38="Trimestral",3,IF(F38="Semestral",6,12)))))</f>
        <v/>
      </c>
      <c r="L38" s="14" t="n"/>
    </row>
    <row r="39">
      <c r="A39" s="14" t="n"/>
      <c r="B39" s="14" t="n"/>
      <c r="C39" s="14" t="n"/>
      <c r="D39" s="15" t="n"/>
      <c r="E39" s="16" t="n"/>
      <c r="F39" s="14" t="n"/>
      <c r="G39" s="17" t="n"/>
      <c r="H39" s="14" t="n"/>
      <c r="I39" s="17">
        <f>IF(OR(A39="",D39="",H39="Feito"),"",D39-TODAY())</f>
        <v/>
      </c>
      <c r="J39" s="14">
        <f>IF(OR(A39="",D39=""),"",IF(H39="Feito","FEITO",IF(I39&lt;0,"VENCIDO",IF(I39&lt;=IF(G39="",7,G39),"VENCE EM BREVE","No prazo"))))</f>
        <v/>
      </c>
      <c r="K39" s="15">
        <f>IF(OR(D39="",F39="",F39="Única"),"",EDATE(D39,IF(F39="Mensal",1,IF(F39="Trimestral",3,IF(F39="Semestral",6,12)))))</f>
        <v/>
      </c>
      <c r="L39" s="14" t="n"/>
    </row>
    <row r="40">
      <c r="A40" s="14" t="n"/>
      <c r="B40" s="14" t="n"/>
      <c r="C40" s="14" t="n"/>
      <c r="D40" s="15" t="n"/>
      <c r="E40" s="16" t="n"/>
      <c r="F40" s="14" t="n"/>
      <c r="G40" s="17" t="n"/>
      <c r="H40" s="14" t="n"/>
      <c r="I40" s="17">
        <f>IF(OR(A40="",D40="",H40="Feito"),"",D40-TODAY())</f>
        <v/>
      </c>
      <c r="J40" s="14">
        <f>IF(OR(A40="",D40=""),"",IF(H40="Feito","FEITO",IF(I40&lt;0,"VENCIDO",IF(I40&lt;=IF(G40="",7,G40),"VENCE EM BREVE","No prazo"))))</f>
        <v/>
      </c>
      <c r="K40" s="15">
        <f>IF(OR(D40="",F40="",F40="Única"),"",EDATE(D40,IF(F40="Mensal",1,IF(F40="Trimestral",3,IF(F40="Semestral",6,12)))))</f>
        <v/>
      </c>
      <c r="L40" s="14" t="n"/>
    </row>
    <row r="41">
      <c r="A41" s="14" t="n"/>
      <c r="B41" s="14" t="n"/>
      <c r="C41" s="14" t="n"/>
      <c r="D41" s="15" t="n"/>
      <c r="E41" s="16" t="n"/>
      <c r="F41" s="14" t="n"/>
      <c r="G41" s="17" t="n"/>
      <c r="H41" s="14" t="n"/>
      <c r="I41" s="17">
        <f>IF(OR(A41="",D41="",H41="Feito"),"",D41-TODAY())</f>
        <v/>
      </c>
      <c r="J41" s="14">
        <f>IF(OR(A41="",D41=""),"",IF(H41="Feito","FEITO",IF(I41&lt;0,"VENCIDO",IF(I41&lt;=IF(G41="",7,G41),"VENCE EM BREVE","No prazo"))))</f>
        <v/>
      </c>
      <c r="K41" s="15">
        <f>IF(OR(D41="",F41="",F41="Única"),"",EDATE(D41,IF(F41="Mensal",1,IF(F41="Trimestral",3,IF(F41="Semestral",6,12)))))</f>
        <v/>
      </c>
      <c r="L41" s="14" t="n"/>
    </row>
    <row r="42">
      <c r="A42" s="14" t="n"/>
      <c r="B42" s="14" t="n"/>
      <c r="C42" s="14" t="n"/>
      <c r="D42" s="15" t="n"/>
      <c r="E42" s="16" t="n"/>
      <c r="F42" s="14" t="n"/>
      <c r="G42" s="17" t="n"/>
      <c r="H42" s="14" t="n"/>
      <c r="I42" s="17">
        <f>IF(OR(A42="",D42="",H42="Feito"),"",D42-TODAY())</f>
        <v/>
      </c>
      <c r="J42" s="14">
        <f>IF(OR(A42="",D42=""),"",IF(H42="Feito","FEITO",IF(I42&lt;0,"VENCIDO",IF(I42&lt;=IF(G42="",7,G42),"VENCE EM BREVE","No prazo"))))</f>
        <v/>
      </c>
      <c r="K42" s="15">
        <f>IF(OR(D42="",F42="",F42="Única"),"",EDATE(D42,IF(F42="Mensal",1,IF(F42="Trimestral",3,IF(F42="Semestral",6,12)))))</f>
        <v/>
      </c>
      <c r="L42" s="14" t="n"/>
    </row>
    <row r="43">
      <c r="A43" s="14" t="n"/>
      <c r="B43" s="14" t="n"/>
      <c r="C43" s="14" t="n"/>
      <c r="D43" s="15" t="n"/>
      <c r="E43" s="16" t="n"/>
      <c r="F43" s="14" t="n"/>
      <c r="G43" s="17" t="n"/>
      <c r="H43" s="14" t="n"/>
      <c r="I43" s="17">
        <f>IF(OR(A43="",D43="",H43="Feito"),"",D43-TODAY())</f>
        <v/>
      </c>
      <c r="J43" s="14">
        <f>IF(OR(A43="",D43=""),"",IF(H43="Feito","FEITO",IF(I43&lt;0,"VENCIDO",IF(I43&lt;=IF(G43="",7,G43),"VENCE EM BREVE","No prazo"))))</f>
        <v/>
      </c>
      <c r="K43" s="15">
        <f>IF(OR(D43="",F43="",F43="Única"),"",EDATE(D43,IF(F43="Mensal",1,IF(F43="Trimestral",3,IF(F43="Semestral",6,12)))))</f>
        <v/>
      </c>
      <c r="L43" s="14" t="n"/>
    </row>
    <row r="44">
      <c r="A44" s="14" t="n"/>
      <c r="B44" s="14" t="n"/>
      <c r="C44" s="14" t="n"/>
      <c r="D44" s="15" t="n"/>
      <c r="E44" s="16" t="n"/>
      <c r="F44" s="14" t="n"/>
      <c r="G44" s="17" t="n"/>
      <c r="H44" s="14" t="n"/>
      <c r="I44" s="17">
        <f>IF(OR(A44="",D44="",H44="Feito"),"",D44-TODAY())</f>
        <v/>
      </c>
      <c r="J44" s="14">
        <f>IF(OR(A44="",D44=""),"",IF(H44="Feito","FEITO",IF(I44&lt;0,"VENCIDO",IF(I44&lt;=IF(G44="",7,G44),"VENCE EM BREVE","No prazo"))))</f>
        <v/>
      </c>
      <c r="K44" s="15">
        <f>IF(OR(D44="",F44="",F44="Única"),"",EDATE(D44,IF(F44="Mensal",1,IF(F44="Trimestral",3,IF(F44="Semestral",6,12)))))</f>
        <v/>
      </c>
      <c r="L44" s="14" t="n"/>
    </row>
    <row r="45">
      <c r="A45" s="14" t="n"/>
      <c r="B45" s="14" t="n"/>
      <c r="C45" s="14" t="n"/>
      <c r="D45" s="15" t="n"/>
      <c r="E45" s="16" t="n"/>
      <c r="F45" s="14" t="n"/>
      <c r="G45" s="17" t="n"/>
      <c r="H45" s="14" t="n"/>
      <c r="I45" s="17">
        <f>IF(OR(A45="",D45="",H45="Feito"),"",D45-TODAY())</f>
        <v/>
      </c>
      <c r="J45" s="14">
        <f>IF(OR(A45="",D45=""),"",IF(H45="Feito","FEITO",IF(I45&lt;0,"VENCIDO",IF(I45&lt;=IF(G45="",7,G45),"VENCE EM BREVE","No prazo"))))</f>
        <v/>
      </c>
      <c r="K45" s="15">
        <f>IF(OR(D45="",F45="",F45="Única"),"",EDATE(D45,IF(F45="Mensal",1,IF(F45="Trimestral",3,IF(F45="Semestral",6,12)))))</f>
        <v/>
      </c>
      <c r="L45" s="14" t="n"/>
    </row>
    <row r="46">
      <c r="A46" s="14" t="n"/>
      <c r="B46" s="14" t="n"/>
      <c r="C46" s="14" t="n"/>
      <c r="D46" s="15" t="n"/>
      <c r="E46" s="16" t="n"/>
      <c r="F46" s="14" t="n"/>
      <c r="G46" s="17" t="n"/>
      <c r="H46" s="14" t="n"/>
      <c r="I46" s="17">
        <f>IF(OR(A46="",D46="",H46="Feito"),"",D46-TODAY())</f>
        <v/>
      </c>
      <c r="J46" s="14">
        <f>IF(OR(A46="",D46=""),"",IF(H46="Feito","FEITO",IF(I46&lt;0,"VENCIDO",IF(I46&lt;=IF(G46="",7,G46),"VENCE EM BREVE","No prazo"))))</f>
        <v/>
      </c>
      <c r="K46" s="15">
        <f>IF(OR(D46="",F46="",F46="Única"),"",EDATE(D46,IF(F46="Mensal",1,IF(F46="Trimestral",3,IF(F46="Semestral",6,12)))))</f>
        <v/>
      </c>
      <c r="L46" s="14" t="n"/>
    </row>
    <row r="47">
      <c r="A47" s="14" t="n"/>
      <c r="B47" s="14" t="n"/>
      <c r="C47" s="14" t="n"/>
      <c r="D47" s="15" t="n"/>
      <c r="E47" s="16" t="n"/>
      <c r="F47" s="14" t="n"/>
      <c r="G47" s="17" t="n"/>
      <c r="H47" s="14" t="n"/>
      <c r="I47" s="17">
        <f>IF(OR(A47="",D47="",H47="Feito"),"",D47-TODAY())</f>
        <v/>
      </c>
      <c r="J47" s="14">
        <f>IF(OR(A47="",D47=""),"",IF(H47="Feito","FEITO",IF(I47&lt;0,"VENCIDO",IF(I47&lt;=IF(G47="",7,G47),"VENCE EM BREVE","No prazo"))))</f>
        <v/>
      </c>
      <c r="K47" s="15">
        <f>IF(OR(D47="",F47="",F47="Única"),"",EDATE(D47,IF(F47="Mensal",1,IF(F47="Trimestral",3,IF(F47="Semestral",6,12)))))</f>
        <v/>
      </c>
      <c r="L47" s="14" t="n"/>
    </row>
    <row r="48">
      <c r="A48" s="14" t="n"/>
      <c r="B48" s="14" t="n"/>
      <c r="C48" s="14" t="n"/>
      <c r="D48" s="15" t="n"/>
      <c r="E48" s="16" t="n"/>
      <c r="F48" s="14" t="n"/>
      <c r="G48" s="17" t="n"/>
      <c r="H48" s="14" t="n"/>
      <c r="I48" s="17">
        <f>IF(OR(A48="",D48="",H48="Feito"),"",D48-TODAY())</f>
        <v/>
      </c>
      <c r="J48" s="14">
        <f>IF(OR(A48="",D48=""),"",IF(H48="Feito","FEITO",IF(I48&lt;0,"VENCIDO",IF(I48&lt;=IF(G48="",7,G48),"VENCE EM BREVE","No prazo"))))</f>
        <v/>
      </c>
      <c r="K48" s="15">
        <f>IF(OR(D48="",F48="",F48="Única"),"",EDATE(D48,IF(F48="Mensal",1,IF(F48="Trimestral",3,IF(F48="Semestral",6,12)))))</f>
        <v/>
      </c>
      <c r="L48" s="14" t="n"/>
    </row>
    <row r="49">
      <c r="A49" s="14" t="n"/>
      <c r="B49" s="14" t="n"/>
      <c r="C49" s="14" t="n"/>
      <c r="D49" s="15" t="n"/>
      <c r="E49" s="16" t="n"/>
      <c r="F49" s="14" t="n"/>
      <c r="G49" s="17" t="n"/>
      <c r="H49" s="14" t="n"/>
      <c r="I49" s="17">
        <f>IF(OR(A49="",D49="",H49="Feito"),"",D49-TODAY())</f>
        <v/>
      </c>
      <c r="J49" s="14">
        <f>IF(OR(A49="",D49=""),"",IF(H49="Feito","FEITO",IF(I49&lt;0,"VENCIDO",IF(I49&lt;=IF(G49="",7,G49),"VENCE EM BREVE","No prazo"))))</f>
        <v/>
      </c>
      <c r="K49" s="15">
        <f>IF(OR(D49="",F49="",F49="Única"),"",EDATE(D49,IF(F49="Mensal",1,IF(F49="Trimestral",3,IF(F49="Semestral",6,12)))))</f>
        <v/>
      </c>
      <c r="L49" s="14" t="n"/>
    </row>
    <row r="50">
      <c r="A50" s="14" t="n"/>
      <c r="B50" s="14" t="n"/>
      <c r="C50" s="14" t="n"/>
      <c r="D50" s="15" t="n"/>
      <c r="E50" s="16" t="n"/>
      <c r="F50" s="14" t="n"/>
      <c r="G50" s="17" t="n"/>
      <c r="H50" s="14" t="n"/>
      <c r="I50" s="17">
        <f>IF(OR(A50="",D50="",H50="Feito"),"",D50-TODAY())</f>
        <v/>
      </c>
      <c r="J50" s="14">
        <f>IF(OR(A50="",D50=""),"",IF(H50="Feito","FEITO",IF(I50&lt;0,"VENCIDO",IF(I50&lt;=IF(G50="",7,G50),"VENCE EM BREVE","No prazo"))))</f>
        <v/>
      </c>
      <c r="K50" s="15">
        <f>IF(OR(D50="",F50="",F50="Única"),"",EDATE(D50,IF(F50="Mensal",1,IF(F50="Trimestral",3,IF(F50="Semestral",6,12)))))</f>
        <v/>
      </c>
      <c r="L50" s="14" t="n"/>
    </row>
    <row r="51">
      <c r="A51" s="14" t="n"/>
      <c r="B51" s="14" t="n"/>
      <c r="C51" s="14" t="n"/>
      <c r="D51" s="15" t="n"/>
      <c r="E51" s="16" t="n"/>
      <c r="F51" s="14" t="n"/>
      <c r="G51" s="17" t="n"/>
      <c r="H51" s="14" t="n"/>
      <c r="I51" s="17">
        <f>IF(OR(A51="",D51="",H51="Feito"),"",D51-TODAY())</f>
        <v/>
      </c>
      <c r="J51" s="14">
        <f>IF(OR(A51="",D51=""),"",IF(H51="Feito","FEITO",IF(I51&lt;0,"VENCIDO",IF(I51&lt;=IF(G51="",7,G51),"VENCE EM BREVE","No prazo"))))</f>
        <v/>
      </c>
      <c r="K51" s="15">
        <f>IF(OR(D51="",F51="",F51="Única"),"",EDATE(D51,IF(F51="Mensal",1,IF(F51="Trimestral",3,IF(F51="Semestral",6,12)))))</f>
        <v/>
      </c>
      <c r="L51" s="14" t="n"/>
    </row>
    <row r="52">
      <c r="A52" s="14" t="n"/>
      <c r="B52" s="14" t="n"/>
      <c r="C52" s="14" t="n"/>
      <c r="D52" s="15" t="n"/>
      <c r="E52" s="16" t="n"/>
      <c r="F52" s="14" t="n"/>
      <c r="G52" s="17" t="n"/>
      <c r="H52" s="14" t="n"/>
      <c r="I52" s="17">
        <f>IF(OR(A52="",D52="",H52="Feito"),"",D52-TODAY())</f>
        <v/>
      </c>
      <c r="J52" s="14">
        <f>IF(OR(A52="",D52=""),"",IF(H52="Feito","FEITO",IF(I52&lt;0,"VENCIDO",IF(I52&lt;=IF(G52="",7,G52),"VENCE EM BREVE","No prazo"))))</f>
        <v/>
      </c>
      <c r="K52" s="15">
        <f>IF(OR(D52="",F52="",F52="Única"),"",EDATE(D52,IF(F52="Mensal",1,IF(F52="Trimestral",3,IF(F52="Semestral",6,12)))))</f>
        <v/>
      </c>
      <c r="L52" s="14" t="n"/>
    </row>
    <row r="53">
      <c r="A53" s="14" t="n"/>
      <c r="B53" s="14" t="n"/>
      <c r="C53" s="14" t="n"/>
      <c r="D53" s="15" t="n"/>
      <c r="E53" s="16" t="n"/>
      <c r="F53" s="14" t="n"/>
      <c r="G53" s="17" t="n"/>
      <c r="H53" s="14" t="n"/>
      <c r="I53" s="17">
        <f>IF(OR(A53="",D53="",H53="Feito"),"",D53-TODAY())</f>
        <v/>
      </c>
      <c r="J53" s="14">
        <f>IF(OR(A53="",D53=""),"",IF(H53="Feito","FEITO",IF(I53&lt;0,"VENCIDO",IF(I53&lt;=IF(G53="",7,G53),"VENCE EM BREVE","No prazo"))))</f>
        <v/>
      </c>
      <c r="K53" s="15">
        <f>IF(OR(D53="",F53="",F53="Única"),"",EDATE(D53,IF(F53="Mensal",1,IF(F53="Trimestral",3,IF(F53="Semestral",6,12)))))</f>
        <v/>
      </c>
      <c r="L53" s="14" t="n"/>
    </row>
    <row r="54">
      <c r="A54" s="14" t="n"/>
      <c r="B54" s="14" t="n"/>
      <c r="C54" s="14" t="n"/>
      <c r="D54" s="15" t="n"/>
      <c r="E54" s="16" t="n"/>
      <c r="F54" s="14" t="n"/>
      <c r="G54" s="17" t="n"/>
      <c r="H54" s="14" t="n"/>
      <c r="I54" s="17">
        <f>IF(OR(A54="",D54="",H54="Feito"),"",D54-TODAY())</f>
        <v/>
      </c>
      <c r="J54" s="14">
        <f>IF(OR(A54="",D54=""),"",IF(H54="Feito","FEITO",IF(I54&lt;0,"VENCIDO",IF(I54&lt;=IF(G54="",7,G54),"VENCE EM BREVE","No prazo"))))</f>
        <v/>
      </c>
      <c r="K54" s="15">
        <f>IF(OR(D54="",F54="",F54="Única"),"",EDATE(D54,IF(F54="Mensal",1,IF(F54="Trimestral",3,IF(F54="Semestral",6,12)))))</f>
        <v/>
      </c>
      <c r="L54" s="14" t="n"/>
    </row>
    <row r="55">
      <c r="A55" s="14" t="n"/>
      <c r="B55" s="14" t="n"/>
      <c r="C55" s="14" t="n"/>
      <c r="D55" s="15" t="n"/>
      <c r="E55" s="16" t="n"/>
      <c r="F55" s="14" t="n"/>
      <c r="G55" s="17" t="n"/>
      <c r="H55" s="14" t="n"/>
      <c r="I55" s="17">
        <f>IF(OR(A55="",D55="",H55="Feito"),"",D55-TODAY())</f>
        <v/>
      </c>
      <c r="J55" s="14">
        <f>IF(OR(A55="",D55=""),"",IF(H55="Feito","FEITO",IF(I55&lt;0,"VENCIDO",IF(I55&lt;=IF(G55="",7,G55),"VENCE EM BREVE","No prazo"))))</f>
        <v/>
      </c>
      <c r="K55" s="15">
        <f>IF(OR(D55="",F55="",F55="Única"),"",EDATE(D55,IF(F55="Mensal",1,IF(F55="Trimestral",3,IF(F55="Semestral",6,12)))))</f>
        <v/>
      </c>
      <c r="L55" s="14" t="n"/>
    </row>
    <row r="56">
      <c r="A56" s="14" t="n"/>
      <c r="B56" s="14" t="n"/>
      <c r="C56" s="14" t="n"/>
      <c r="D56" s="15" t="n"/>
      <c r="E56" s="16" t="n"/>
      <c r="F56" s="14" t="n"/>
      <c r="G56" s="17" t="n"/>
      <c r="H56" s="14" t="n"/>
      <c r="I56" s="17">
        <f>IF(OR(A56="",D56="",H56="Feito"),"",D56-TODAY())</f>
        <v/>
      </c>
      <c r="J56" s="14">
        <f>IF(OR(A56="",D56=""),"",IF(H56="Feito","FEITO",IF(I56&lt;0,"VENCIDO",IF(I56&lt;=IF(G56="",7,G56),"VENCE EM BREVE","No prazo"))))</f>
        <v/>
      </c>
      <c r="K56" s="15">
        <f>IF(OR(D56="",F56="",F56="Única"),"",EDATE(D56,IF(F56="Mensal",1,IF(F56="Trimestral",3,IF(F56="Semestral",6,12)))))</f>
        <v/>
      </c>
      <c r="L56" s="14" t="n"/>
    </row>
    <row r="57">
      <c r="A57" s="14" t="n"/>
      <c r="B57" s="14" t="n"/>
      <c r="C57" s="14" t="n"/>
      <c r="D57" s="15" t="n"/>
      <c r="E57" s="16" t="n"/>
      <c r="F57" s="14" t="n"/>
      <c r="G57" s="17" t="n"/>
      <c r="H57" s="14" t="n"/>
      <c r="I57" s="17">
        <f>IF(OR(A57="",D57="",H57="Feito"),"",D57-TODAY())</f>
        <v/>
      </c>
      <c r="J57" s="14">
        <f>IF(OR(A57="",D57=""),"",IF(H57="Feito","FEITO",IF(I57&lt;0,"VENCIDO",IF(I57&lt;=IF(G57="",7,G57),"VENCE EM BREVE","No prazo"))))</f>
        <v/>
      </c>
      <c r="K57" s="15">
        <f>IF(OR(D57="",F57="",F57="Única"),"",EDATE(D57,IF(F57="Mensal",1,IF(F57="Trimestral",3,IF(F57="Semestral",6,12)))))</f>
        <v/>
      </c>
      <c r="L57" s="14" t="n"/>
    </row>
    <row r="58">
      <c r="A58" s="14" t="n"/>
      <c r="B58" s="14" t="n"/>
      <c r="C58" s="14" t="n"/>
      <c r="D58" s="15" t="n"/>
      <c r="E58" s="16" t="n"/>
      <c r="F58" s="14" t="n"/>
      <c r="G58" s="17" t="n"/>
      <c r="H58" s="14" t="n"/>
      <c r="I58" s="17">
        <f>IF(OR(A58="",D58="",H58="Feito"),"",D58-TODAY())</f>
        <v/>
      </c>
      <c r="J58" s="14">
        <f>IF(OR(A58="",D58=""),"",IF(H58="Feito","FEITO",IF(I58&lt;0,"VENCIDO",IF(I58&lt;=IF(G58="",7,G58),"VENCE EM BREVE","No prazo"))))</f>
        <v/>
      </c>
      <c r="K58" s="15">
        <f>IF(OR(D58="",F58="",F58="Única"),"",EDATE(D58,IF(F58="Mensal",1,IF(F58="Trimestral",3,IF(F58="Semestral",6,12)))))</f>
        <v/>
      </c>
      <c r="L58" s="14" t="n"/>
    </row>
    <row r="59">
      <c r="A59" s="14" t="n"/>
      <c r="B59" s="14" t="n"/>
      <c r="C59" s="14" t="n"/>
      <c r="D59" s="15" t="n"/>
      <c r="E59" s="16" t="n"/>
      <c r="F59" s="14" t="n"/>
      <c r="G59" s="17" t="n"/>
      <c r="H59" s="14" t="n"/>
      <c r="I59" s="17">
        <f>IF(OR(A59="",D59="",H59="Feito"),"",D59-TODAY())</f>
        <v/>
      </c>
      <c r="J59" s="14">
        <f>IF(OR(A59="",D59=""),"",IF(H59="Feito","FEITO",IF(I59&lt;0,"VENCIDO",IF(I59&lt;=IF(G59="",7,G59),"VENCE EM BREVE","No prazo"))))</f>
        <v/>
      </c>
      <c r="K59" s="15">
        <f>IF(OR(D59="",F59="",F59="Única"),"",EDATE(D59,IF(F59="Mensal",1,IF(F59="Trimestral",3,IF(F59="Semestral",6,12)))))</f>
        <v/>
      </c>
      <c r="L59" s="14" t="n"/>
    </row>
    <row r="60">
      <c r="A60" s="14" t="n"/>
      <c r="B60" s="14" t="n"/>
      <c r="C60" s="14" t="n"/>
      <c r="D60" s="15" t="n"/>
      <c r="E60" s="16" t="n"/>
      <c r="F60" s="14" t="n"/>
      <c r="G60" s="17" t="n"/>
      <c r="H60" s="14" t="n"/>
      <c r="I60" s="17">
        <f>IF(OR(A60="",D60="",H60="Feito"),"",D60-TODAY())</f>
        <v/>
      </c>
      <c r="J60" s="14">
        <f>IF(OR(A60="",D60=""),"",IF(H60="Feito","FEITO",IF(I60&lt;0,"VENCIDO",IF(I60&lt;=IF(G60="",7,G60),"VENCE EM BREVE","No prazo"))))</f>
        <v/>
      </c>
      <c r="K60" s="15">
        <f>IF(OR(D60="",F60="",F60="Única"),"",EDATE(D60,IF(F60="Mensal",1,IF(F60="Trimestral",3,IF(F60="Semestral",6,12)))))</f>
        <v/>
      </c>
      <c r="L60" s="14" t="n"/>
    </row>
    <row r="61">
      <c r="A61" s="14" t="n"/>
      <c r="B61" s="14" t="n"/>
      <c r="C61" s="14" t="n"/>
      <c r="D61" s="15" t="n"/>
      <c r="E61" s="16" t="n"/>
      <c r="F61" s="14" t="n"/>
      <c r="G61" s="17" t="n"/>
      <c r="H61" s="14" t="n"/>
      <c r="I61" s="17">
        <f>IF(OR(A61="",D61="",H61="Feito"),"",D61-TODAY())</f>
        <v/>
      </c>
      <c r="J61" s="14">
        <f>IF(OR(A61="",D61=""),"",IF(H61="Feito","FEITO",IF(I61&lt;0,"VENCIDO",IF(I61&lt;=IF(G61="",7,G61),"VENCE EM BREVE","No prazo"))))</f>
        <v/>
      </c>
      <c r="K61" s="15">
        <f>IF(OR(D61="",F61="",F61="Única"),"",EDATE(D61,IF(F61="Mensal",1,IF(F61="Trimestral",3,IF(F61="Semestral",6,12)))))</f>
        <v/>
      </c>
      <c r="L61" s="14" t="n"/>
    </row>
    <row r="62">
      <c r="A62" s="14" t="n"/>
      <c r="B62" s="14" t="n"/>
      <c r="C62" s="14" t="n"/>
      <c r="D62" s="15" t="n"/>
      <c r="E62" s="16" t="n"/>
      <c r="F62" s="14" t="n"/>
      <c r="G62" s="17" t="n"/>
      <c r="H62" s="14" t="n"/>
      <c r="I62" s="17">
        <f>IF(OR(A62="",D62="",H62="Feito"),"",D62-TODAY())</f>
        <v/>
      </c>
      <c r="J62" s="14">
        <f>IF(OR(A62="",D62=""),"",IF(H62="Feito","FEITO",IF(I62&lt;0,"VENCIDO",IF(I62&lt;=IF(G62="",7,G62),"VENCE EM BREVE","No prazo"))))</f>
        <v/>
      </c>
      <c r="K62" s="15">
        <f>IF(OR(D62="",F62="",F62="Única"),"",EDATE(D62,IF(F62="Mensal",1,IF(F62="Trimestral",3,IF(F62="Semestral",6,12)))))</f>
        <v/>
      </c>
      <c r="L62" s="14" t="n"/>
    </row>
    <row r="63">
      <c r="A63" s="14" t="n"/>
      <c r="B63" s="14" t="n"/>
      <c r="C63" s="14" t="n"/>
      <c r="D63" s="15" t="n"/>
      <c r="E63" s="16" t="n"/>
      <c r="F63" s="14" t="n"/>
      <c r="G63" s="17" t="n"/>
      <c r="H63" s="14" t="n"/>
      <c r="I63" s="17">
        <f>IF(OR(A63="",D63="",H63="Feito"),"",D63-TODAY())</f>
        <v/>
      </c>
      <c r="J63" s="14">
        <f>IF(OR(A63="",D63=""),"",IF(H63="Feito","FEITO",IF(I63&lt;0,"VENCIDO",IF(I63&lt;=IF(G63="",7,G63),"VENCE EM BREVE","No prazo"))))</f>
        <v/>
      </c>
      <c r="K63" s="15">
        <f>IF(OR(D63="",F63="",F63="Única"),"",EDATE(D63,IF(F63="Mensal",1,IF(F63="Trimestral",3,IF(F63="Semestral",6,12)))))</f>
        <v/>
      </c>
      <c r="L63" s="14" t="n"/>
    </row>
    <row r="64">
      <c r="A64" s="14" t="n"/>
      <c r="B64" s="14" t="n"/>
      <c r="C64" s="14" t="n"/>
      <c r="D64" s="15" t="n"/>
      <c r="E64" s="16" t="n"/>
      <c r="F64" s="14" t="n"/>
      <c r="G64" s="17" t="n"/>
      <c r="H64" s="14" t="n"/>
      <c r="I64" s="17">
        <f>IF(OR(A64="",D64="",H64="Feito"),"",D64-TODAY())</f>
        <v/>
      </c>
      <c r="J64" s="14">
        <f>IF(OR(A64="",D64=""),"",IF(H64="Feito","FEITO",IF(I64&lt;0,"VENCIDO",IF(I64&lt;=IF(G64="",7,G64),"VENCE EM BREVE","No prazo"))))</f>
        <v/>
      </c>
      <c r="K64" s="15">
        <f>IF(OR(D64="",F64="",F64="Única"),"",EDATE(D64,IF(F64="Mensal",1,IF(F64="Trimestral",3,IF(F64="Semestral",6,12)))))</f>
        <v/>
      </c>
      <c r="L64" s="14" t="n"/>
    </row>
    <row r="65">
      <c r="A65" s="14" t="n"/>
      <c r="B65" s="14" t="n"/>
      <c r="C65" s="14" t="n"/>
      <c r="D65" s="15" t="n"/>
      <c r="E65" s="16" t="n"/>
      <c r="F65" s="14" t="n"/>
      <c r="G65" s="17" t="n"/>
      <c r="H65" s="14" t="n"/>
      <c r="I65" s="17">
        <f>IF(OR(A65="",D65="",H65="Feito"),"",D65-TODAY())</f>
        <v/>
      </c>
      <c r="J65" s="14">
        <f>IF(OR(A65="",D65=""),"",IF(H65="Feito","FEITO",IF(I65&lt;0,"VENCIDO",IF(I65&lt;=IF(G65="",7,G65),"VENCE EM BREVE","No prazo"))))</f>
        <v/>
      </c>
      <c r="K65" s="15">
        <f>IF(OR(D65="",F65="",F65="Única"),"",EDATE(D65,IF(F65="Mensal",1,IF(F65="Trimestral",3,IF(F65="Semestral",6,12)))))</f>
        <v/>
      </c>
      <c r="L65" s="14" t="n"/>
    </row>
    <row r="66">
      <c r="A66" s="14" t="n"/>
      <c r="B66" s="14" t="n"/>
      <c r="C66" s="14" t="n"/>
      <c r="D66" s="15" t="n"/>
      <c r="E66" s="16" t="n"/>
      <c r="F66" s="14" t="n"/>
      <c r="G66" s="17" t="n"/>
      <c r="H66" s="14" t="n"/>
      <c r="I66" s="17">
        <f>IF(OR(A66="",D66="",H66="Feito"),"",D66-TODAY())</f>
        <v/>
      </c>
      <c r="J66" s="14">
        <f>IF(OR(A66="",D66=""),"",IF(H66="Feito","FEITO",IF(I66&lt;0,"VENCIDO",IF(I66&lt;=IF(G66="",7,G66),"VENCE EM BREVE","No prazo"))))</f>
        <v/>
      </c>
      <c r="K66" s="15">
        <f>IF(OR(D66="",F66="",F66="Única"),"",EDATE(D66,IF(F66="Mensal",1,IF(F66="Trimestral",3,IF(F66="Semestral",6,12)))))</f>
        <v/>
      </c>
      <c r="L66" s="14" t="n"/>
    </row>
    <row r="67">
      <c r="A67" s="14" t="n"/>
      <c r="B67" s="14" t="n"/>
      <c r="C67" s="14" t="n"/>
      <c r="D67" s="15" t="n"/>
      <c r="E67" s="16" t="n"/>
      <c r="F67" s="14" t="n"/>
      <c r="G67" s="17" t="n"/>
      <c r="H67" s="14" t="n"/>
      <c r="I67" s="17">
        <f>IF(OR(A67="",D67="",H67="Feito"),"",D67-TODAY())</f>
        <v/>
      </c>
      <c r="J67" s="14">
        <f>IF(OR(A67="",D67=""),"",IF(H67="Feito","FEITO",IF(I67&lt;0,"VENCIDO",IF(I67&lt;=IF(G67="",7,G67),"VENCE EM BREVE","No prazo"))))</f>
        <v/>
      </c>
      <c r="K67" s="15">
        <f>IF(OR(D67="",F67="",F67="Única"),"",EDATE(D67,IF(F67="Mensal",1,IF(F67="Trimestral",3,IF(F67="Semestral",6,12)))))</f>
        <v/>
      </c>
      <c r="L67" s="14" t="n"/>
    </row>
    <row r="68">
      <c r="A68" s="14" t="n"/>
      <c r="B68" s="14" t="n"/>
      <c r="C68" s="14" t="n"/>
      <c r="D68" s="15" t="n"/>
      <c r="E68" s="16" t="n"/>
      <c r="F68" s="14" t="n"/>
      <c r="G68" s="17" t="n"/>
      <c r="H68" s="14" t="n"/>
      <c r="I68" s="17">
        <f>IF(OR(A68="",D68="",H68="Feito"),"",D68-TODAY())</f>
        <v/>
      </c>
      <c r="J68" s="14">
        <f>IF(OR(A68="",D68=""),"",IF(H68="Feito","FEITO",IF(I68&lt;0,"VENCIDO",IF(I68&lt;=IF(G68="",7,G68),"VENCE EM BREVE","No prazo"))))</f>
        <v/>
      </c>
      <c r="K68" s="15">
        <f>IF(OR(D68="",F68="",F68="Única"),"",EDATE(D68,IF(F68="Mensal",1,IF(F68="Trimestral",3,IF(F68="Semestral",6,12)))))</f>
        <v/>
      </c>
      <c r="L68" s="14" t="n"/>
    </row>
    <row r="69">
      <c r="A69" s="14" t="n"/>
      <c r="B69" s="14" t="n"/>
      <c r="C69" s="14" t="n"/>
      <c r="D69" s="15" t="n"/>
      <c r="E69" s="16" t="n"/>
      <c r="F69" s="14" t="n"/>
      <c r="G69" s="17" t="n"/>
      <c r="H69" s="14" t="n"/>
      <c r="I69" s="17">
        <f>IF(OR(A69="",D69="",H69="Feito"),"",D69-TODAY())</f>
        <v/>
      </c>
      <c r="J69" s="14">
        <f>IF(OR(A69="",D69=""),"",IF(H69="Feito","FEITO",IF(I69&lt;0,"VENCIDO",IF(I69&lt;=IF(G69="",7,G69),"VENCE EM BREVE","No prazo"))))</f>
        <v/>
      </c>
      <c r="K69" s="15">
        <f>IF(OR(D69="",F69="",F69="Única"),"",EDATE(D69,IF(F69="Mensal",1,IF(F69="Trimestral",3,IF(F69="Semestral",6,12)))))</f>
        <v/>
      </c>
      <c r="L69" s="14" t="n"/>
    </row>
    <row r="70">
      <c r="A70" s="14" t="n"/>
      <c r="B70" s="14" t="n"/>
      <c r="C70" s="14" t="n"/>
      <c r="D70" s="15" t="n"/>
      <c r="E70" s="16" t="n"/>
      <c r="F70" s="14" t="n"/>
      <c r="G70" s="17" t="n"/>
      <c r="H70" s="14" t="n"/>
      <c r="I70" s="17">
        <f>IF(OR(A70="",D70="",H70="Feito"),"",D70-TODAY())</f>
        <v/>
      </c>
      <c r="J70" s="14">
        <f>IF(OR(A70="",D70=""),"",IF(H70="Feito","FEITO",IF(I70&lt;0,"VENCIDO",IF(I70&lt;=IF(G70="",7,G70),"VENCE EM BREVE","No prazo"))))</f>
        <v/>
      </c>
      <c r="K70" s="15">
        <f>IF(OR(D70="",F70="",F70="Única"),"",EDATE(D70,IF(F70="Mensal",1,IF(F70="Trimestral",3,IF(F70="Semestral",6,12)))))</f>
        <v/>
      </c>
      <c r="L70" s="14" t="n"/>
    </row>
    <row r="71">
      <c r="A71" s="14" t="n"/>
      <c r="B71" s="14" t="n"/>
      <c r="C71" s="14" t="n"/>
      <c r="D71" s="15" t="n"/>
      <c r="E71" s="16" t="n"/>
      <c r="F71" s="14" t="n"/>
      <c r="G71" s="17" t="n"/>
      <c r="H71" s="14" t="n"/>
      <c r="I71" s="17">
        <f>IF(OR(A71="",D71="",H71="Feito"),"",D71-TODAY())</f>
        <v/>
      </c>
      <c r="J71" s="14">
        <f>IF(OR(A71="",D71=""),"",IF(H71="Feito","FEITO",IF(I71&lt;0,"VENCIDO",IF(I71&lt;=IF(G71="",7,G71),"VENCE EM BREVE","No prazo"))))</f>
        <v/>
      </c>
      <c r="K71" s="15">
        <f>IF(OR(D71="",F71="",F71="Única"),"",EDATE(D71,IF(F71="Mensal",1,IF(F71="Trimestral",3,IF(F71="Semestral",6,12)))))</f>
        <v/>
      </c>
      <c r="L71" s="14" t="n"/>
    </row>
    <row r="72">
      <c r="A72" s="14" t="n"/>
      <c r="B72" s="14" t="n"/>
      <c r="C72" s="14" t="n"/>
      <c r="D72" s="15" t="n"/>
      <c r="E72" s="16" t="n"/>
      <c r="F72" s="14" t="n"/>
      <c r="G72" s="17" t="n"/>
      <c r="H72" s="14" t="n"/>
      <c r="I72" s="17">
        <f>IF(OR(A72="",D72="",H72="Feito"),"",D72-TODAY())</f>
        <v/>
      </c>
      <c r="J72" s="14">
        <f>IF(OR(A72="",D72=""),"",IF(H72="Feito","FEITO",IF(I72&lt;0,"VENCIDO",IF(I72&lt;=IF(G72="",7,G72),"VENCE EM BREVE","No prazo"))))</f>
        <v/>
      </c>
      <c r="K72" s="15">
        <f>IF(OR(D72="",F72="",F72="Única"),"",EDATE(D72,IF(F72="Mensal",1,IF(F72="Trimestral",3,IF(F72="Semestral",6,12)))))</f>
        <v/>
      </c>
      <c r="L72" s="14" t="n"/>
    </row>
    <row r="73">
      <c r="A73" s="14" t="n"/>
      <c r="B73" s="14" t="n"/>
      <c r="C73" s="14" t="n"/>
      <c r="D73" s="15" t="n"/>
      <c r="E73" s="16" t="n"/>
      <c r="F73" s="14" t="n"/>
      <c r="G73" s="17" t="n"/>
      <c r="H73" s="14" t="n"/>
      <c r="I73" s="17">
        <f>IF(OR(A73="",D73="",H73="Feito"),"",D73-TODAY())</f>
        <v/>
      </c>
      <c r="J73" s="14">
        <f>IF(OR(A73="",D73=""),"",IF(H73="Feito","FEITO",IF(I73&lt;0,"VENCIDO",IF(I73&lt;=IF(G73="",7,G73),"VENCE EM BREVE","No prazo"))))</f>
        <v/>
      </c>
      <c r="K73" s="15">
        <f>IF(OR(D73="",F73="",F73="Única"),"",EDATE(D73,IF(F73="Mensal",1,IF(F73="Trimestral",3,IF(F73="Semestral",6,12)))))</f>
        <v/>
      </c>
      <c r="L73" s="14" t="n"/>
    </row>
    <row r="74">
      <c r="A74" s="14" t="n"/>
      <c r="B74" s="14" t="n"/>
      <c r="C74" s="14" t="n"/>
      <c r="D74" s="15" t="n"/>
      <c r="E74" s="16" t="n"/>
      <c r="F74" s="14" t="n"/>
      <c r="G74" s="17" t="n"/>
      <c r="H74" s="14" t="n"/>
      <c r="I74" s="17">
        <f>IF(OR(A74="",D74="",H74="Feito"),"",D74-TODAY())</f>
        <v/>
      </c>
      <c r="J74" s="14">
        <f>IF(OR(A74="",D74=""),"",IF(H74="Feito","FEITO",IF(I74&lt;0,"VENCIDO",IF(I74&lt;=IF(G74="",7,G74),"VENCE EM BREVE","No prazo"))))</f>
        <v/>
      </c>
      <c r="K74" s="15">
        <f>IF(OR(D74="",F74="",F74="Única"),"",EDATE(D74,IF(F74="Mensal",1,IF(F74="Trimestral",3,IF(F74="Semestral",6,12)))))</f>
        <v/>
      </c>
      <c r="L74" s="14" t="n"/>
    </row>
    <row r="75">
      <c r="A75" s="14" t="n"/>
      <c r="B75" s="14" t="n"/>
      <c r="C75" s="14" t="n"/>
      <c r="D75" s="15" t="n"/>
      <c r="E75" s="16" t="n"/>
      <c r="F75" s="14" t="n"/>
      <c r="G75" s="17" t="n"/>
      <c r="H75" s="14" t="n"/>
      <c r="I75" s="17">
        <f>IF(OR(A75="",D75="",H75="Feito"),"",D75-TODAY())</f>
        <v/>
      </c>
      <c r="J75" s="14">
        <f>IF(OR(A75="",D75=""),"",IF(H75="Feito","FEITO",IF(I75&lt;0,"VENCIDO",IF(I75&lt;=IF(G75="",7,G75),"VENCE EM BREVE","No prazo"))))</f>
        <v/>
      </c>
      <c r="K75" s="15">
        <f>IF(OR(D75="",F75="",F75="Única"),"",EDATE(D75,IF(F75="Mensal",1,IF(F75="Trimestral",3,IF(F75="Semestral",6,12)))))</f>
        <v/>
      </c>
      <c r="L75" s="14" t="n"/>
    </row>
    <row r="76">
      <c r="A76" s="14" t="n"/>
      <c r="B76" s="14" t="n"/>
      <c r="C76" s="14" t="n"/>
      <c r="D76" s="15" t="n"/>
      <c r="E76" s="16" t="n"/>
      <c r="F76" s="14" t="n"/>
      <c r="G76" s="17" t="n"/>
      <c r="H76" s="14" t="n"/>
      <c r="I76" s="17">
        <f>IF(OR(A76="",D76="",H76="Feito"),"",D76-TODAY())</f>
        <v/>
      </c>
      <c r="J76" s="14">
        <f>IF(OR(A76="",D76=""),"",IF(H76="Feito","FEITO",IF(I76&lt;0,"VENCIDO",IF(I76&lt;=IF(G76="",7,G76),"VENCE EM BREVE","No prazo"))))</f>
        <v/>
      </c>
      <c r="K76" s="15">
        <f>IF(OR(D76="",F76="",F76="Única"),"",EDATE(D76,IF(F76="Mensal",1,IF(F76="Trimestral",3,IF(F76="Semestral",6,12)))))</f>
        <v/>
      </c>
      <c r="L76" s="14" t="n"/>
    </row>
    <row r="77">
      <c r="A77" s="14" t="n"/>
      <c r="B77" s="14" t="n"/>
      <c r="C77" s="14" t="n"/>
      <c r="D77" s="15" t="n"/>
      <c r="E77" s="16" t="n"/>
      <c r="F77" s="14" t="n"/>
      <c r="G77" s="17" t="n"/>
      <c r="H77" s="14" t="n"/>
      <c r="I77" s="17">
        <f>IF(OR(A77="",D77="",H77="Feito"),"",D77-TODAY())</f>
        <v/>
      </c>
      <c r="J77" s="14">
        <f>IF(OR(A77="",D77=""),"",IF(H77="Feito","FEITO",IF(I77&lt;0,"VENCIDO",IF(I77&lt;=IF(G77="",7,G77),"VENCE EM BREVE","No prazo"))))</f>
        <v/>
      </c>
      <c r="K77" s="15">
        <f>IF(OR(D77="",F77="",F77="Única"),"",EDATE(D77,IF(F77="Mensal",1,IF(F77="Trimestral",3,IF(F77="Semestral",6,12)))))</f>
        <v/>
      </c>
      <c r="L77" s="14" t="n"/>
    </row>
    <row r="78">
      <c r="A78" s="14" t="n"/>
      <c r="B78" s="14" t="n"/>
      <c r="C78" s="14" t="n"/>
      <c r="D78" s="15" t="n"/>
      <c r="E78" s="16" t="n"/>
      <c r="F78" s="14" t="n"/>
      <c r="G78" s="17" t="n"/>
      <c r="H78" s="14" t="n"/>
      <c r="I78" s="17">
        <f>IF(OR(A78="",D78="",H78="Feito"),"",D78-TODAY())</f>
        <v/>
      </c>
      <c r="J78" s="14">
        <f>IF(OR(A78="",D78=""),"",IF(H78="Feito","FEITO",IF(I78&lt;0,"VENCIDO",IF(I78&lt;=IF(G78="",7,G78),"VENCE EM BREVE","No prazo"))))</f>
        <v/>
      </c>
      <c r="K78" s="15">
        <f>IF(OR(D78="",F78="",F78="Única"),"",EDATE(D78,IF(F78="Mensal",1,IF(F78="Trimestral",3,IF(F78="Semestral",6,12)))))</f>
        <v/>
      </c>
      <c r="L78" s="14" t="n"/>
    </row>
    <row r="79">
      <c r="A79" s="14" t="n"/>
      <c r="B79" s="14" t="n"/>
      <c r="C79" s="14" t="n"/>
      <c r="D79" s="15" t="n"/>
      <c r="E79" s="16" t="n"/>
      <c r="F79" s="14" t="n"/>
      <c r="G79" s="17" t="n"/>
      <c r="H79" s="14" t="n"/>
      <c r="I79" s="17">
        <f>IF(OR(A79="",D79="",H79="Feito"),"",D79-TODAY())</f>
        <v/>
      </c>
      <c r="J79" s="14">
        <f>IF(OR(A79="",D79=""),"",IF(H79="Feito","FEITO",IF(I79&lt;0,"VENCIDO",IF(I79&lt;=IF(G79="",7,G79),"VENCE EM BREVE","No prazo"))))</f>
        <v/>
      </c>
      <c r="K79" s="15">
        <f>IF(OR(D79="",F79="",F79="Única"),"",EDATE(D79,IF(F79="Mensal",1,IF(F79="Trimestral",3,IF(F79="Semestral",6,12)))))</f>
        <v/>
      </c>
      <c r="L79" s="14" t="n"/>
    </row>
    <row r="80">
      <c r="A80" s="14" t="n"/>
      <c r="B80" s="14" t="n"/>
      <c r="C80" s="14" t="n"/>
      <c r="D80" s="15" t="n"/>
      <c r="E80" s="16" t="n"/>
      <c r="F80" s="14" t="n"/>
      <c r="G80" s="17" t="n"/>
      <c r="H80" s="14" t="n"/>
      <c r="I80" s="17">
        <f>IF(OR(A80="",D80="",H80="Feito"),"",D80-TODAY())</f>
        <v/>
      </c>
      <c r="J80" s="14">
        <f>IF(OR(A80="",D80=""),"",IF(H80="Feito","FEITO",IF(I80&lt;0,"VENCIDO",IF(I80&lt;=IF(G80="",7,G80),"VENCE EM BREVE","No prazo"))))</f>
        <v/>
      </c>
      <c r="K80" s="15">
        <f>IF(OR(D80="",F80="",F80="Única"),"",EDATE(D80,IF(F80="Mensal",1,IF(F80="Trimestral",3,IF(F80="Semestral",6,12)))))</f>
        <v/>
      </c>
      <c r="L80" s="14" t="n"/>
    </row>
    <row r="81">
      <c r="A81" s="14" t="n"/>
      <c r="B81" s="14" t="n"/>
      <c r="C81" s="14" t="n"/>
      <c r="D81" s="15" t="n"/>
      <c r="E81" s="16" t="n"/>
      <c r="F81" s="14" t="n"/>
      <c r="G81" s="17" t="n"/>
      <c r="H81" s="14" t="n"/>
      <c r="I81" s="17">
        <f>IF(OR(A81="",D81="",H81="Feito"),"",D81-TODAY())</f>
        <v/>
      </c>
      <c r="J81" s="14">
        <f>IF(OR(A81="",D81=""),"",IF(H81="Feito","FEITO",IF(I81&lt;0,"VENCIDO",IF(I81&lt;=IF(G81="",7,G81),"VENCE EM BREVE","No prazo"))))</f>
        <v/>
      </c>
      <c r="K81" s="15">
        <f>IF(OR(D81="",F81="",F81="Única"),"",EDATE(D81,IF(F81="Mensal",1,IF(F81="Trimestral",3,IF(F81="Semestral",6,12)))))</f>
        <v/>
      </c>
      <c r="L81" s="14" t="n"/>
    </row>
    <row r="82">
      <c r="A82" s="14" t="n"/>
      <c r="B82" s="14" t="n"/>
      <c r="C82" s="14" t="n"/>
      <c r="D82" s="15" t="n"/>
      <c r="E82" s="16" t="n"/>
      <c r="F82" s="14" t="n"/>
      <c r="G82" s="17" t="n"/>
      <c r="H82" s="14" t="n"/>
      <c r="I82" s="17">
        <f>IF(OR(A82="",D82="",H82="Feito"),"",D82-TODAY())</f>
        <v/>
      </c>
      <c r="J82" s="14">
        <f>IF(OR(A82="",D82=""),"",IF(H82="Feito","FEITO",IF(I82&lt;0,"VENCIDO",IF(I82&lt;=IF(G82="",7,G82),"VENCE EM BREVE","No prazo"))))</f>
        <v/>
      </c>
      <c r="K82" s="15">
        <f>IF(OR(D82="",F82="",F82="Única"),"",EDATE(D82,IF(F82="Mensal",1,IF(F82="Trimestral",3,IF(F82="Semestral",6,12)))))</f>
        <v/>
      </c>
      <c r="L82" s="14" t="n"/>
    </row>
    <row r="83">
      <c r="A83" s="14" t="n"/>
      <c r="B83" s="14" t="n"/>
      <c r="C83" s="14" t="n"/>
      <c r="D83" s="15" t="n"/>
      <c r="E83" s="16" t="n"/>
      <c r="F83" s="14" t="n"/>
      <c r="G83" s="17" t="n"/>
      <c r="H83" s="14" t="n"/>
      <c r="I83" s="17">
        <f>IF(OR(A83="",D83="",H83="Feito"),"",D83-TODAY())</f>
        <v/>
      </c>
      <c r="J83" s="14">
        <f>IF(OR(A83="",D83=""),"",IF(H83="Feito","FEITO",IF(I83&lt;0,"VENCIDO",IF(I83&lt;=IF(G83="",7,G83),"VENCE EM BREVE","No prazo"))))</f>
        <v/>
      </c>
      <c r="K83" s="15">
        <f>IF(OR(D83="",F83="",F83="Única"),"",EDATE(D83,IF(F83="Mensal",1,IF(F83="Trimestral",3,IF(F83="Semestral",6,12)))))</f>
        <v/>
      </c>
      <c r="L83" s="14" t="n"/>
    </row>
    <row r="84">
      <c r="A84" s="14" t="n"/>
      <c r="B84" s="14" t="n"/>
      <c r="C84" s="14" t="n"/>
      <c r="D84" s="15" t="n"/>
      <c r="E84" s="16" t="n"/>
      <c r="F84" s="14" t="n"/>
      <c r="G84" s="17" t="n"/>
      <c r="H84" s="14" t="n"/>
      <c r="I84" s="17">
        <f>IF(OR(A84="",D84="",H84="Feito"),"",D84-TODAY())</f>
        <v/>
      </c>
      <c r="J84" s="14">
        <f>IF(OR(A84="",D84=""),"",IF(H84="Feito","FEITO",IF(I84&lt;0,"VENCIDO",IF(I84&lt;=IF(G84="",7,G84),"VENCE EM BREVE","No prazo"))))</f>
        <v/>
      </c>
      <c r="K84" s="15">
        <f>IF(OR(D84="",F84="",F84="Única"),"",EDATE(D84,IF(F84="Mensal",1,IF(F84="Trimestral",3,IF(F84="Semestral",6,12)))))</f>
        <v/>
      </c>
      <c r="L84" s="14" t="n"/>
    </row>
    <row r="85">
      <c r="A85" s="14" t="n"/>
      <c r="B85" s="14" t="n"/>
      <c r="C85" s="14" t="n"/>
      <c r="D85" s="15" t="n"/>
      <c r="E85" s="16" t="n"/>
      <c r="F85" s="14" t="n"/>
      <c r="G85" s="17" t="n"/>
      <c r="H85" s="14" t="n"/>
      <c r="I85" s="17">
        <f>IF(OR(A85="",D85="",H85="Feito"),"",D85-TODAY())</f>
        <v/>
      </c>
      <c r="J85" s="14">
        <f>IF(OR(A85="",D85=""),"",IF(H85="Feito","FEITO",IF(I85&lt;0,"VENCIDO",IF(I85&lt;=IF(G85="",7,G85),"VENCE EM BREVE","No prazo"))))</f>
        <v/>
      </c>
      <c r="K85" s="15">
        <f>IF(OR(D85="",F85="",F85="Única"),"",EDATE(D85,IF(F85="Mensal",1,IF(F85="Trimestral",3,IF(F85="Semestral",6,12)))))</f>
        <v/>
      </c>
      <c r="L85" s="14" t="n"/>
    </row>
    <row r="86">
      <c r="A86" s="14" t="n"/>
      <c r="B86" s="14" t="n"/>
      <c r="C86" s="14" t="n"/>
      <c r="D86" s="15" t="n"/>
      <c r="E86" s="16" t="n"/>
      <c r="F86" s="14" t="n"/>
      <c r="G86" s="17" t="n"/>
      <c r="H86" s="14" t="n"/>
      <c r="I86" s="17">
        <f>IF(OR(A86="",D86="",H86="Feito"),"",D86-TODAY())</f>
        <v/>
      </c>
      <c r="J86" s="14">
        <f>IF(OR(A86="",D86=""),"",IF(H86="Feito","FEITO",IF(I86&lt;0,"VENCIDO",IF(I86&lt;=IF(G86="",7,G86),"VENCE EM BREVE","No prazo"))))</f>
        <v/>
      </c>
      <c r="K86" s="15">
        <f>IF(OR(D86="",F86="",F86="Única"),"",EDATE(D86,IF(F86="Mensal",1,IF(F86="Trimestral",3,IF(F86="Semestral",6,12)))))</f>
        <v/>
      </c>
      <c r="L86" s="14" t="n"/>
    </row>
    <row r="87">
      <c r="A87" s="14" t="n"/>
      <c r="B87" s="14" t="n"/>
      <c r="C87" s="14" t="n"/>
      <c r="D87" s="15" t="n"/>
      <c r="E87" s="16" t="n"/>
      <c r="F87" s="14" t="n"/>
      <c r="G87" s="17" t="n"/>
      <c r="H87" s="14" t="n"/>
      <c r="I87" s="17">
        <f>IF(OR(A87="",D87="",H87="Feito"),"",D87-TODAY())</f>
        <v/>
      </c>
      <c r="J87" s="14">
        <f>IF(OR(A87="",D87=""),"",IF(H87="Feito","FEITO",IF(I87&lt;0,"VENCIDO",IF(I87&lt;=IF(G87="",7,G87),"VENCE EM BREVE","No prazo"))))</f>
        <v/>
      </c>
      <c r="K87" s="15">
        <f>IF(OR(D87="",F87="",F87="Única"),"",EDATE(D87,IF(F87="Mensal",1,IF(F87="Trimestral",3,IF(F87="Semestral",6,12)))))</f>
        <v/>
      </c>
      <c r="L87" s="14" t="n"/>
    </row>
    <row r="88">
      <c r="A88" s="14" t="n"/>
      <c r="B88" s="14" t="n"/>
      <c r="C88" s="14" t="n"/>
      <c r="D88" s="15" t="n"/>
      <c r="E88" s="16" t="n"/>
      <c r="F88" s="14" t="n"/>
      <c r="G88" s="17" t="n"/>
      <c r="H88" s="14" t="n"/>
      <c r="I88" s="17">
        <f>IF(OR(A88="",D88="",H88="Feito"),"",D88-TODAY())</f>
        <v/>
      </c>
      <c r="J88" s="14">
        <f>IF(OR(A88="",D88=""),"",IF(H88="Feito","FEITO",IF(I88&lt;0,"VENCIDO",IF(I88&lt;=IF(G88="",7,G88),"VENCE EM BREVE","No prazo"))))</f>
        <v/>
      </c>
      <c r="K88" s="15">
        <f>IF(OR(D88="",F88="",F88="Única"),"",EDATE(D88,IF(F88="Mensal",1,IF(F88="Trimestral",3,IF(F88="Semestral",6,12)))))</f>
        <v/>
      </c>
      <c r="L88" s="14" t="n"/>
    </row>
    <row r="89">
      <c r="A89" s="14" t="n"/>
      <c r="B89" s="14" t="n"/>
      <c r="C89" s="14" t="n"/>
      <c r="D89" s="15" t="n"/>
      <c r="E89" s="16" t="n"/>
      <c r="F89" s="14" t="n"/>
      <c r="G89" s="17" t="n"/>
      <c r="H89" s="14" t="n"/>
      <c r="I89" s="17">
        <f>IF(OR(A89="",D89="",H89="Feito"),"",D89-TODAY())</f>
        <v/>
      </c>
      <c r="J89" s="14">
        <f>IF(OR(A89="",D89=""),"",IF(H89="Feito","FEITO",IF(I89&lt;0,"VENCIDO",IF(I89&lt;=IF(G89="",7,G89),"VENCE EM BREVE","No prazo"))))</f>
        <v/>
      </c>
      <c r="K89" s="15">
        <f>IF(OR(D89="",F89="",F89="Única"),"",EDATE(D89,IF(F89="Mensal",1,IF(F89="Trimestral",3,IF(F89="Semestral",6,12)))))</f>
        <v/>
      </c>
      <c r="L89" s="14" t="n"/>
    </row>
    <row r="90">
      <c r="A90" s="14" t="n"/>
      <c r="B90" s="14" t="n"/>
      <c r="C90" s="14" t="n"/>
      <c r="D90" s="15" t="n"/>
      <c r="E90" s="16" t="n"/>
      <c r="F90" s="14" t="n"/>
      <c r="G90" s="17" t="n"/>
      <c r="H90" s="14" t="n"/>
      <c r="I90" s="17">
        <f>IF(OR(A90="",D90="",H90="Feito"),"",D90-TODAY())</f>
        <v/>
      </c>
      <c r="J90" s="14">
        <f>IF(OR(A90="",D90=""),"",IF(H90="Feito","FEITO",IF(I90&lt;0,"VENCIDO",IF(I90&lt;=IF(G90="",7,G90),"VENCE EM BREVE","No prazo"))))</f>
        <v/>
      </c>
      <c r="K90" s="15">
        <f>IF(OR(D90="",F90="",F90="Única"),"",EDATE(D90,IF(F90="Mensal",1,IF(F90="Trimestral",3,IF(F90="Semestral",6,12)))))</f>
        <v/>
      </c>
      <c r="L90" s="14" t="n"/>
    </row>
    <row r="91">
      <c r="A91" s="14" t="n"/>
      <c r="B91" s="14" t="n"/>
      <c r="C91" s="14" t="n"/>
      <c r="D91" s="15" t="n"/>
      <c r="E91" s="16" t="n"/>
      <c r="F91" s="14" t="n"/>
      <c r="G91" s="17" t="n"/>
      <c r="H91" s="14" t="n"/>
      <c r="I91" s="17">
        <f>IF(OR(A91="",D91="",H91="Feito"),"",D91-TODAY())</f>
        <v/>
      </c>
      <c r="J91" s="14">
        <f>IF(OR(A91="",D91=""),"",IF(H91="Feito","FEITO",IF(I91&lt;0,"VENCIDO",IF(I91&lt;=IF(G91="",7,G91),"VENCE EM BREVE","No prazo"))))</f>
        <v/>
      </c>
      <c r="K91" s="15">
        <f>IF(OR(D91="",F91="",F91="Única"),"",EDATE(D91,IF(F91="Mensal",1,IF(F91="Trimestral",3,IF(F91="Semestral",6,12)))))</f>
        <v/>
      </c>
      <c r="L91" s="14" t="n"/>
    </row>
    <row r="92">
      <c r="A92" s="14" t="n"/>
      <c r="B92" s="14" t="n"/>
      <c r="C92" s="14" t="n"/>
      <c r="D92" s="15" t="n"/>
      <c r="E92" s="16" t="n"/>
      <c r="F92" s="14" t="n"/>
      <c r="G92" s="17" t="n"/>
      <c r="H92" s="14" t="n"/>
      <c r="I92" s="17">
        <f>IF(OR(A92="",D92="",H92="Feito"),"",D92-TODAY())</f>
        <v/>
      </c>
      <c r="J92" s="14">
        <f>IF(OR(A92="",D92=""),"",IF(H92="Feito","FEITO",IF(I92&lt;0,"VENCIDO",IF(I92&lt;=IF(G92="",7,G92),"VENCE EM BREVE","No prazo"))))</f>
        <v/>
      </c>
      <c r="K92" s="15">
        <f>IF(OR(D92="",F92="",F92="Única"),"",EDATE(D92,IF(F92="Mensal",1,IF(F92="Trimestral",3,IF(F92="Semestral",6,12)))))</f>
        <v/>
      </c>
      <c r="L92" s="14" t="n"/>
    </row>
    <row r="93">
      <c r="A93" s="14" t="n"/>
      <c r="B93" s="14" t="n"/>
      <c r="C93" s="14" t="n"/>
      <c r="D93" s="15" t="n"/>
      <c r="E93" s="16" t="n"/>
      <c r="F93" s="14" t="n"/>
      <c r="G93" s="17" t="n"/>
      <c r="H93" s="14" t="n"/>
      <c r="I93" s="17">
        <f>IF(OR(A93="",D93="",H93="Feito"),"",D93-TODAY())</f>
        <v/>
      </c>
      <c r="J93" s="14">
        <f>IF(OR(A93="",D93=""),"",IF(H93="Feito","FEITO",IF(I93&lt;0,"VENCIDO",IF(I93&lt;=IF(G93="",7,G93),"VENCE EM BREVE","No prazo"))))</f>
        <v/>
      </c>
      <c r="K93" s="15">
        <f>IF(OR(D93="",F93="",F93="Única"),"",EDATE(D93,IF(F93="Mensal",1,IF(F93="Trimestral",3,IF(F93="Semestral",6,12)))))</f>
        <v/>
      </c>
      <c r="L93" s="14" t="n"/>
    </row>
    <row r="94">
      <c r="A94" s="14" t="n"/>
      <c r="B94" s="14" t="n"/>
      <c r="C94" s="14" t="n"/>
      <c r="D94" s="15" t="n"/>
      <c r="E94" s="16" t="n"/>
      <c r="F94" s="14" t="n"/>
      <c r="G94" s="17" t="n"/>
      <c r="H94" s="14" t="n"/>
      <c r="I94" s="17">
        <f>IF(OR(A94="",D94="",H94="Feito"),"",D94-TODAY())</f>
        <v/>
      </c>
      <c r="J94" s="14">
        <f>IF(OR(A94="",D94=""),"",IF(H94="Feito","FEITO",IF(I94&lt;0,"VENCIDO",IF(I94&lt;=IF(G94="",7,G94),"VENCE EM BREVE","No prazo"))))</f>
        <v/>
      </c>
      <c r="K94" s="15">
        <f>IF(OR(D94="",F94="",F94="Única"),"",EDATE(D94,IF(F94="Mensal",1,IF(F94="Trimestral",3,IF(F94="Semestral",6,12)))))</f>
        <v/>
      </c>
      <c r="L94" s="14" t="n"/>
    </row>
    <row r="95">
      <c r="A95" s="14" t="n"/>
      <c r="B95" s="14" t="n"/>
      <c r="C95" s="14" t="n"/>
      <c r="D95" s="15" t="n"/>
      <c r="E95" s="16" t="n"/>
      <c r="F95" s="14" t="n"/>
      <c r="G95" s="17" t="n"/>
      <c r="H95" s="14" t="n"/>
      <c r="I95" s="17">
        <f>IF(OR(A95="",D95="",H95="Feito"),"",D95-TODAY())</f>
        <v/>
      </c>
      <c r="J95" s="14">
        <f>IF(OR(A95="",D95=""),"",IF(H95="Feito","FEITO",IF(I95&lt;0,"VENCIDO",IF(I95&lt;=IF(G95="",7,G95),"VENCE EM BREVE","No prazo"))))</f>
        <v/>
      </c>
      <c r="K95" s="15">
        <f>IF(OR(D95="",F95="",F95="Única"),"",EDATE(D95,IF(F95="Mensal",1,IF(F95="Trimestral",3,IF(F95="Semestral",6,12)))))</f>
        <v/>
      </c>
      <c r="L95" s="14" t="n"/>
    </row>
    <row r="96">
      <c r="A96" s="14" t="n"/>
      <c r="B96" s="14" t="n"/>
      <c r="C96" s="14" t="n"/>
      <c r="D96" s="15" t="n"/>
      <c r="E96" s="16" t="n"/>
      <c r="F96" s="14" t="n"/>
      <c r="G96" s="17" t="n"/>
      <c r="H96" s="14" t="n"/>
      <c r="I96" s="17">
        <f>IF(OR(A96="",D96="",H96="Feito"),"",D96-TODAY())</f>
        <v/>
      </c>
      <c r="J96" s="14">
        <f>IF(OR(A96="",D96=""),"",IF(H96="Feito","FEITO",IF(I96&lt;0,"VENCIDO",IF(I96&lt;=IF(G96="",7,G96),"VENCE EM BREVE","No prazo"))))</f>
        <v/>
      </c>
      <c r="K96" s="15">
        <f>IF(OR(D96="",F96="",F96="Única"),"",EDATE(D96,IF(F96="Mensal",1,IF(F96="Trimestral",3,IF(F96="Semestral",6,12)))))</f>
        <v/>
      </c>
      <c r="L96" s="14" t="n"/>
    </row>
    <row r="97">
      <c r="A97" s="14" t="n"/>
      <c r="B97" s="14" t="n"/>
      <c r="C97" s="14" t="n"/>
      <c r="D97" s="15" t="n"/>
      <c r="E97" s="16" t="n"/>
      <c r="F97" s="14" t="n"/>
      <c r="G97" s="17" t="n"/>
      <c r="H97" s="14" t="n"/>
      <c r="I97" s="17">
        <f>IF(OR(A97="",D97="",H97="Feito"),"",D97-TODAY())</f>
        <v/>
      </c>
      <c r="J97" s="14">
        <f>IF(OR(A97="",D97=""),"",IF(H97="Feito","FEITO",IF(I97&lt;0,"VENCIDO",IF(I97&lt;=IF(G97="",7,G97),"VENCE EM BREVE","No prazo"))))</f>
        <v/>
      </c>
      <c r="K97" s="15">
        <f>IF(OR(D97="",F97="",F97="Única"),"",EDATE(D97,IF(F97="Mensal",1,IF(F97="Trimestral",3,IF(F97="Semestral",6,12)))))</f>
        <v/>
      </c>
      <c r="L97" s="14" t="n"/>
    </row>
    <row r="98">
      <c r="A98" s="14" t="n"/>
      <c r="B98" s="14" t="n"/>
      <c r="C98" s="14" t="n"/>
      <c r="D98" s="15" t="n"/>
      <c r="E98" s="16" t="n"/>
      <c r="F98" s="14" t="n"/>
      <c r="G98" s="17" t="n"/>
      <c r="H98" s="14" t="n"/>
      <c r="I98" s="17">
        <f>IF(OR(A98="",D98="",H98="Feito"),"",D98-TODAY())</f>
        <v/>
      </c>
      <c r="J98" s="14">
        <f>IF(OR(A98="",D98=""),"",IF(H98="Feito","FEITO",IF(I98&lt;0,"VENCIDO",IF(I98&lt;=IF(G98="",7,G98),"VENCE EM BREVE","No prazo"))))</f>
        <v/>
      </c>
      <c r="K98" s="15">
        <f>IF(OR(D98="",F98="",F98="Única"),"",EDATE(D98,IF(F98="Mensal",1,IF(F98="Trimestral",3,IF(F98="Semestral",6,12)))))</f>
        <v/>
      </c>
      <c r="L98" s="14" t="n"/>
    </row>
    <row r="99">
      <c r="A99" s="14" t="n"/>
      <c r="B99" s="14" t="n"/>
      <c r="C99" s="14" t="n"/>
      <c r="D99" s="15" t="n"/>
      <c r="E99" s="16" t="n"/>
      <c r="F99" s="14" t="n"/>
      <c r="G99" s="17" t="n"/>
      <c r="H99" s="14" t="n"/>
      <c r="I99" s="17">
        <f>IF(OR(A99="",D99="",H99="Feito"),"",D99-TODAY())</f>
        <v/>
      </c>
      <c r="J99" s="14">
        <f>IF(OR(A99="",D99=""),"",IF(H99="Feito","FEITO",IF(I99&lt;0,"VENCIDO",IF(I99&lt;=IF(G99="",7,G99),"VENCE EM BREVE","No prazo"))))</f>
        <v/>
      </c>
      <c r="K99" s="15">
        <f>IF(OR(D99="",F99="",F99="Única"),"",EDATE(D99,IF(F99="Mensal",1,IF(F99="Trimestral",3,IF(F99="Semestral",6,12)))))</f>
        <v/>
      </c>
      <c r="L99" s="14" t="n"/>
    </row>
    <row r="100">
      <c r="A100" s="14" t="n"/>
      <c r="B100" s="14" t="n"/>
      <c r="C100" s="14" t="n"/>
      <c r="D100" s="15" t="n"/>
      <c r="E100" s="16" t="n"/>
      <c r="F100" s="14" t="n"/>
      <c r="G100" s="17" t="n"/>
      <c r="H100" s="14" t="n"/>
      <c r="I100" s="17">
        <f>IF(OR(A100="",D100="",H100="Feito"),"",D100-TODAY())</f>
        <v/>
      </c>
      <c r="J100" s="14">
        <f>IF(OR(A100="",D100=""),"",IF(H100="Feito","FEITO",IF(I100&lt;0,"VENCIDO",IF(I100&lt;=IF(G100="",7,G100),"VENCE EM BREVE","No prazo"))))</f>
        <v/>
      </c>
      <c r="K100" s="15">
        <f>IF(OR(D100="",F100="",F100="Única"),"",EDATE(D100,IF(F100="Mensal",1,IF(F100="Trimestral",3,IF(F100="Semestral",6,12)))))</f>
        <v/>
      </c>
      <c r="L100" s="14" t="n"/>
    </row>
    <row r="101">
      <c r="A101" s="14" t="n"/>
      <c r="B101" s="14" t="n"/>
      <c r="C101" s="14" t="n"/>
      <c r="D101" s="15" t="n"/>
      <c r="E101" s="16" t="n"/>
      <c r="F101" s="14" t="n"/>
      <c r="G101" s="17" t="n"/>
      <c r="H101" s="14" t="n"/>
      <c r="I101" s="17">
        <f>IF(OR(A101="",D101="",H101="Feito"),"",D101-TODAY())</f>
        <v/>
      </c>
      <c r="J101" s="14">
        <f>IF(OR(A101="",D101=""),"",IF(H101="Feito","FEITO",IF(I101&lt;0,"VENCIDO",IF(I101&lt;=IF(G101="",7,G101),"VENCE EM BREVE","No prazo"))))</f>
        <v/>
      </c>
      <c r="K101" s="15">
        <f>IF(OR(D101="",F101="",F101="Única"),"",EDATE(D101,IF(F101="Mensal",1,IF(F101="Trimestral",3,IF(F101="Semestral",6,12)))))</f>
        <v/>
      </c>
      <c r="L101" s="14" t="n"/>
    </row>
    <row r="102">
      <c r="A102" s="14" t="n"/>
      <c r="B102" s="14" t="n"/>
      <c r="C102" s="14" t="n"/>
      <c r="D102" s="15" t="n"/>
      <c r="E102" s="16" t="n"/>
      <c r="F102" s="14" t="n"/>
      <c r="G102" s="17" t="n"/>
      <c r="H102" s="14" t="n"/>
      <c r="I102" s="17">
        <f>IF(OR(A102="",D102="",H102="Feito"),"",D102-TODAY())</f>
        <v/>
      </c>
      <c r="J102" s="14">
        <f>IF(OR(A102="",D102=""),"",IF(H102="Feito","FEITO",IF(I102&lt;0,"VENCIDO",IF(I102&lt;=IF(G102="",7,G102),"VENCE EM BREVE","No prazo"))))</f>
        <v/>
      </c>
      <c r="K102" s="15">
        <f>IF(OR(D102="",F102="",F102="Única"),"",EDATE(D102,IF(F102="Mensal",1,IF(F102="Trimestral",3,IF(F102="Semestral",6,12)))))</f>
        <v/>
      </c>
      <c r="L102" s="14" t="n"/>
    </row>
    <row r="103">
      <c r="A103" s="14" t="n"/>
      <c r="B103" s="14" t="n"/>
      <c r="C103" s="14" t="n"/>
      <c r="D103" s="15" t="n"/>
      <c r="E103" s="16" t="n"/>
      <c r="F103" s="14" t="n"/>
      <c r="G103" s="17" t="n"/>
      <c r="H103" s="14" t="n"/>
      <c r="I103" s="17">
        <f>IF(OR(A103="",D103="",H103="Feito"),"",D103-TODAY())</f>
        <v/>
      </c>
      <c r="J103" s="14">
        <f>IF(OR(A103="",D103=""),"",IF(H103="Feito","FEITO",IF(I103&lt;0,"VENCIDO",IF(I103&lt;=IF(G103="",7,G103),"VENCE EM BREVE","No prazo"))))</f>
        <v/>
      </c>
      <c r="K103" s="15">
        <f>IF(OR(D103="",F103="",F103="Única"),"",EDATE(D103,IF(F103="Mensal",1,IF(F103="Trimestral",3,IF(F103="Semestral",6,12)))))</f>
        <v/>
      </c>
      <c r="L103" s="14" t="n"/>
    </row>
    <row r="104">
      <c r="A104" s="14" t="n"/>
      <c r="B104" s="14" t="n"/>
      <c r="C104" s="14" t="n"/>
      <c r="D104" s="15" t="n"/>
      <c r="E104" s="16" t="n"/>
      <c r="F104" s="14" t="n"/>
      <c r="G104" s="17" t="n"/>
      <c r="H104" s="14" t="n"/>
      <c r="I104" s="17">
        <f>IF(OR(A104="",D104="",H104="Feito"),"",D104-TODAY())</f>
        <v/>
      </c>
      <c r="J104" s="14">
        <f>IF(OR(A104="",D104=""),"",IF(H104="Feito","FEITO",IF(I104&lt;0,"VENCIDO",IF(I104&lt;=IF(G104="",7,G104),"VENCE EM BREVE","No prazo"))))</f>
        <v/>
      </c>
      <c r="K104" s="15">
        <f>IF(OR(D104="",F104="",F104="Única"),"",EDATE(D104,IF(F104="Mensal",1,IF(F104="Trimestral",3,IF(F104="Semestral",6,12)))))</f>
        <v/>
      </c>
      <c r="L104" s="14" t="n"/>
    </row>
    <row r="105">
      <c r="A105" s="14" t="n"/>
      <c r="B105" s="14" t="n"/>
      <c r="C105" s="14" t="n"/>
      <c r="D105" s="15" t="n"/>
      <c r="E105" s="16" t="n"/>
      <c r="F105" s="14" t="n"/>
      <c r="G105" s="17" t="n"/>
      <c r="H105" s="14" t="n"/>
      <c r="I105" s="17">
        <f>IF(OR(A105="",D105="",H105="Feito"),"",D105-TODAY())</f>
        <v/>
      </c>
      <c r="J105" s="14">
        <f>IF(OR(A105="",D105=""),"",IF(H105="Feito","FEITO",IF(I105&lt;0,"VENCIDO",IF(I105&lt;=IF(G105="",7,G105),"VENCE EM BREVE","No prazo"))))</f>
        <v/>
      </c>
      <c r="K105" s="15">
        <f>IF(OR(D105="",F105="",F105="Única"),"",EDATE(D105,IF(F105="Mensal",1,IF(F105="Trimestral",3,IF(F105="Semestral",6,12)))))</f>
        <v/>
      </c>
      <c r="L105" s="14" t="n"/>
    </row>
    <row r="106">
      <c r="A106" s="14" t="n"/>
      <c r="B106" s="14" t="n"/>
      <c r="C106" s="14" t="n"/>
      <c r="D106" s="15" t="n"/>
      <c r="E106" s="16" t="n"/>
      <c r="F106" s="14" t="n"/>
      <c r="G106" s="17" t="n"/>
      <c r="H106" s="14" t="n"/>
      <c r="I106" s="17">
        <f>IF(OR(A106="",D106="",H106="Feito"),"",D106-TODAY())</f>
        <v/>
      </c>
      <c r="J106" s="14">
        <f>IF(OR(A106="",D106=""),"",IF(H106="Feito","FEITO",IF(I106&lt;0,"VENCIDO",IF(I106&lt;=IF(G106="",7,G106),"VENCE EM BREVE","No prazo"))))</f>
        <v/>
      </c>
      <c r="K106" s="15">
        <f>IF(OR(D106="",F106="",F106="Única"),"",EDATE(D106,IF(F106="Mensal",1,IF(F106="Trimestral",3,IF(F106="Semestral",6,12)))))</f>
        <v/>
      </c>
      <c r="L106" s="14" t="n"/>
    </row>
    <row r="107">
      <c r="A107" s="14" t="n"/>
      <c r="B107" s="14" t="n"/>
      <c r="C107" s="14" t="n"/>
      <c r="D107" s="15" t="n"/>
      <c r="E107" s="16" t="n"/>
      <c r="F107" s="14" t="n"/>
      <c r="G107" s="17" t="n"/>
      <c r="H107" s="14" t="n"/>
      <c r="I107" s="17">
        <f>IF(OR(A107="",D107="",H107="Feito"),"",D107-TODAY())</f>
        <v/>
      </c>
      <c r="J107" s="14">
        <f>IF(OR(A107="",D107=""),"",IF(H107="Feito","FEITO",IF(I107&lt;0,"VENCIDO",IF(I107&lt;=IF(G107="",7,G107),"VENCE EM BREVE","No prazo"))))</f>
        <v/>
      </c>
      <c r="K107" s="15">
        <f>IF(OR(D107="",F107="",F107="Única"),"",EDATE(D107,IF(F107="Mensal",1,IF(F107="Trimestral",3,IF(F107="Semestral",6,12)))))</f>
        <v/>
      </c>
      <c r="L107" s="14" t="n"/>
    </row>
    <row r="108">
      <c r="A108" s="14" t="n"/>
      <c r="B108" s="14" t="n"/>
      <c r="C108" s="14" t="n"/>
      <c r="D108" s="15" t="n"/>
      <c r="E108" s="16" t="n"/>
      <c r="F108" s="14" t="n"/>
      <c r="G108" s="17" t="n"/>
      <c r="H108" s="14" t="n"/>
      <c r="I108" s="17">
        <f>IF(OR(A108="",D108="",H108="Feito"),"",D108-TODAY())</f>
        <v/>
      </c>
      <c r="J108" s="14">
        <f>IF(OR(A108="",D108=""),"",IF(H108="Feito","FEITO",IF(I108&lt;0,"VENCIDO",IF(I108&lt;=IF(G108="",7,G108),"VENCE EM BREVE","No prazo"))))</f>
        <v/>
      </c>
      <c r="K108" s="15">
        <f>IF(OR(D108="",F108="",F108="Única"),"",EDATE(D108,IF(F108="Mensal",1,IF(F108="Trimestral",3,IF(F108="Semestral",6,12)))))</f>
        <v/>
      </c>
      <c r="L108" s="14" t="n"/>
    </row>
    <row r="109">
      <c r="A109" s="14" t="n"/>
      <c r="B109" s="14" t="n"/>
      <c r="C109" s="14" t="n"/>
      <c r="D109" s="15" t="n"/>
      <c r="E109" s="16" t="n"/>
      <c r="F109" s="14" t="n"/>
      <c r="G109" s="17" t="n"/>
      <c r="H109" s="14" t="n"/>
      <c r="I109" s="17">
        <f>IF(OR(A109="",D109="",H109="Feito"),"",D109-TODAY())</f>
        <v/>
      </c>
      <c r="J109" s="14">
        <f>IF(OR(A109="",D109=""),"",IF(H109="Feito","FEITO",IF(I109&lt;0,"VENCIDO",IF(I109&lt;=IF(G109="",7,G109),"VENCE EM BREVE","No prazo"))))</f>
        <v/>
      </c>
      <c r="K109" s="15">
        <f>IF(OR(D109="",F109="",F109="Única"),"",EDATE(D109,IF(F109="Mensal",1,IF(F109="Trimestral",3,IF(F109="Semestral",6,12)))))</f>
        <v/>
      </c>
      <c r="L109" s="14" t="n"/>
    </row>
    <row r="110">
      <c r="A110" s="14" t="n"/>
      <c r="B110" s="14" t="n"/>
      <c r="C110" s="14" t="n"/>
      <c r="D110" s="15" t="n"/>
      <c r="E110" s="16" t="n"/>
      <c r="F110" s="14" t="n"/>
      <c r="G110" s="17" t="n"/>
      <c r="H110" s="14" t="n"/>
      <c r="I110" s="17">
        <f>IF(OR(A110="",D110="",H110="Feito"),"",D110-TODAY())</f>
        <v/>
      </c>
      <c r="J110" s="14">
        <f>IF(OR(A110="",D110=""),"",IF(H110="Feito","FEITO",IF(I110&lt;0,"VENCIDO",IF(I110&lt;=IF(G110="",7,G110),"VENCE EM BREVE","No prazo"))))</f>
        <v/>
      </c>
      <c r="K110" s="15">
        <f>IF(OR(D110="",F110="",F110="Única"),"",EDATE(D110,IF(F110="Mensal",1,IF(F110="Trimestral",3,IF(F110="Semestral",6,12)))))</f>
        <v/>
      </c>
      <c r="L110" s="14" t="n"/>
    </row>
    <row r="111">
      <c r="A111" s="14" t="n"/>
      <c r="B111" s="14" t="n"/>
      <c r="C111" s="14" t="n"/>
      <c r="D111" s="15" t="n"/>
      <c r="E111" s="16" t="n"/>
      <c r="F111" s="14" t="n"/>
      <c r="G111" s="17" t="n"/>
      <c r="H111" s="14" t="n"/>
      <c r="I111" s="17">
        <f>IF(OR(A111="",D111="",H111="Feito"),"",D111-TODAY())</f>
        <v/>
      </c>
      <c r="J111" s="14">
        <f>IF(OR(A111="",D111=""),"",IF(H111="Feito","FEITO",IF(I111&lt;0,"VENCIDO",IF(I111&lt;=IF(G111="",7,G111),"VENCE EM BREVE","No prazo"))))</f>
        <v/>
      </c>
      <c r="K111" s="15">
        <f>IF(OR(D111="",F111="",F111="Única"),"",EDATE(D111,IF(F111="Mensal",1,IF(F111="Trimestral",3,IF(F111="Semestral",6,12)))))</f>
        <v/>
      </c>
      <c r="L111" s="14" t="n"/>
    </row>
    <row r="112">
      <c r="A112" s="14" t="n"/>
      <c r="B112" s="14" t="n"/>
      <c r="C112" s="14" t="n"/>
      <c r="D112" s="15" t="n"/>
      <c r="E112" s="16" t="n"/>
      <c r="F112" s="14" t="n"/>
      <c r="G112" s="17" t="n"/>
      <c r="H112" s="14" t="n"/>
      <c r="I112" s="17">
        <f>IF(OR(A112="",D112="",H112="Feito"),"",D112-TODAY())</f>
        <v/>
      </c>
      <c r="J112" s="14">
        <f>IF(OR(A112="",D112=""),"",IF(H112="Feito","FEITO",IF(I112&lt;0,"VENCIDO",IF(I112&lt;=IF(G112="",7,G112),"VENCE EM BREVE","No prazo"))))</f>
        <v/>
      </c>
      <c r="K112" s="15">
        <f>IF(OR(D112="",F112="",F112="Única"),"",EDATE(D112,IF(F112="Mensal",1,IF(F112="Trimestral",3,IF(F112="Semestral",6,12)))))</f>
        <v/>
      </c>
      <c r="L112" s="14" t="n"/>
    </row>
    <row r="113">
      <c r="A113" s="14" t="n"/>
      <c r="B113" s="14" t="n"/>
      <c r="C113" s="14" t="n"/>
      <c r="D113" s="15" t="n"/>
      <c r="E113" s="16" t="n"/>
      <c r="F113" s="14" t="n"/>
      <c r="G113" s="17" t="n"/>
      <c r="H113" s="14" t="n"/>
      <c r="I113" s="17">
        <f>IF(OR(A113="",D113="",H113="Feito"),"",D113-TODAY())</f>
        <v/>
      </c>
      <c r="J113" s="14">
        <f>IF(OR(A113="",D113=""),"",IF(H113="Feito","FEITO",IF(I113&lt;0,"VENCIDO",IF(I113&lt;=IF(G113="",7,G113),"VENCE EM BREVE","No prazo"))))</f>
        <v/>
      </c>
      <c r="K113" s="15">
        <f>IF(OR(D113="",F113="",F113="Única"),"",EDATE(D113,IF(F113="Mensal",1,IF(F113="Trimestral",3,IF(F113="Semestral",6,12)))))</f>
        <v/>
      </c>
      <c r="L113" s="14" t="n"/>
    </row>
    <row r="114">
      <c r="A114" s="14" t="n"/>
      <c r="B114" s="14" t="n"/>
      <c r="C114" s="14" t="n"/>
      <c r="D114" s="15" t="n"/>
      <c r="E114" s="16" t="n"/>
      <c r="F114" s="14" t="n"/>
      <c r="G114" s="17" t="n"/>
      <c r="H114" s="14" t="n"/>
      <c r="I114" s="17">
        <f>IF(OR(A114="",D114="",H114="Feito"),"",D114-TODAY())</f>
        <v/>
      </c>
      <c r="J114" s="14">
        <f>IF(OR(A114="",D114=""),"",IF(H114="Feito","FEITO",IF(I114&lt;0,"VENCIDO",IF(I114&lt;=IF(G114="",7,G114),"VENCE EM BREVE","No prazo"))))</f>
        <v/>
      </c>
      <c r="K114" s="15">
        <f>IF(OR(D114="",F114="",F114="Única"),"",EDATE(D114,IF(F114="Mensal",1,IF(F114="Trimestral",3,IF(F114="Semestral",6,12)))))</f>
        <v/>
      </c>
      <c r="L114" s="14" t="n"/>
    </row>
    <row r="115">
      <c r="A115" s="14" t="n"/>
      <c r="B115" s="14" t="n"/>
      <c r="C115" s="14" t="n"/>
      <c r="D115" s="15" t="n"/>
      <c r="E115" s="16" t="n"/>
      <c r="F115" s="14" t="n"/>
      <c r="G115" s="17" t="n"/>
      <c r="H115" s="14" t="n"/>
      <c r="I115" s="17">
        <f>IF(OR(A115="",D115="",H115="Feito"),"",D115-TODAY())</f>
        <v/>
      </c>
      <c r="J115" s="14">
        <f>IF(OR(A115="",D115=""),"",IF(H115="Feito","FEITO",IF(I115&lt;0,"VENCIDO",IF(I115&lt;=IF(G115="",7,G115),"VENCE EM BREVE","No prazo"))))</f>
        <v/>
      </c>
      <c r="K115" s="15">
        <f>IF(OR(D115="",F115="",F115="Única"),"",EDATE(D115,IF(F115="Mensal",1,IF(F115="Trimestral",3,IF(F115="Semestral",6,12)))))</f>
        <v/>
      </c>
      <c r="L115" s="14" t="n"/>
    </row>
    <row r="116">
      <c r="A116" s="14" t="n"/>
      <c r="B116" s="14" t="n"/>
      <c r="C116" s="14" t="n"/>
      <c r="D116" s="15" t="n"/>
      <c r="E116" s="16" t="n"/>
      <c r="F116" s="14" t="n"/>
      <c r="G116" s="17" t="n"/>
      <c r="H116" s="14" t="n"/>
      <c r="I116" s="17">
        <f>IF(OR(A116="",D116="",H116="Feito"),"",D116-TODAY())</f>
        <v/>
      </c>
      <c r="J116" s="14">
        <f>IF(OR(A116="",D116=""),"",IF(H116="Feito","FEITO",IF(I116&lt;0,"VENCIDO",IF(I116&lt;=IF(G116="",7,G116),"VENCE EM BREVE","No prazo"))))</f>
        <v/>
      </c>
      <c r="K116" s="15">
        <f>IF(OR(D116="",F116="",F116="Única"),"",EDATE(D116,IF(F116="Mensal",1,IF(F116="Trimestral",3,IF(F116="Semestral",6,12)))))</f>
        <v/>
      </c>
      <c r="L116" s="14" t="n"/>
    </row>
    <row r="117">
      <c r="A117" s="14" t="n"/>
      <c r="B117" s="14" t="n"/>
      <c r="C117" s="14" t="n"/>
      <c r="D117" s="15" t="n"/>
      <c r="E117" s="16" t="n"/>
      <c r="F117" s="14" t="n"/>
      <c r="G117" s="17" t="n"/>
      <c r="H117" s="14" t="n"/>
      <c r="I117" s="17">
        <f>IF(OR(A117="",D117="",H117="Feito"),"",D117-TODAY())</f>
        <v/>
      </c>
      <c r="J117" s="14">
        <f>IF(OR(A117="",D117=""),"",IF(H117="Feito","FEITO",IF(I117&lt;0,"VENCIDO",IF(I117&lt;=IF(G117="",7,G117),"VENCE EM BREVE","No prazo"))))</f>
        <v/>
      </c>
      <c r="K117" s="15">
        <f>IF(OR(D117="",F117="",F117="Única"),"",EDATE(D117,IF(F117="Mensal",1,IF(F117="Trimestral",3,IF(F117="Semestral",6,12)))))</f>
        <v/>
      </c>
      <c r="L117" s="14" t="n"/>
    </row>
    <row r="118">
      <c r="A118" s="14" t="n"/>
      <c r="B118" s="14" t="n"/>
      <c r="C118" s="14" t="n"/>
      <c r="D118" s="15" t="n"/>
      <c r="E118" s="16" t="n"/>
      <c r="F118" s="14" t="n"/>
      <c r="G118" s="17" t="n"/>
      <c r="H118" s="14" t="n"/>
      <c r="I118" s="17">
        <f>IF(OR(A118="",D118="",H118="Feito"),"",D118-TODAY())</f>
        <v/>
      </c>
      <c r="J118" s="14">
        <f>IF(OR(A118="",D118=""),"",IF(H118="Feito","FEITO",IF(I118&lt;0,"VENCIDO",IF(I118&lt;=IF(G118="",7,G118),"VENCE EM BREVE","No prazo"))))</f>
        <v/>
      </c>
      <c r="K118" s="15">
        <f>IF(OR(D118="",F118="",F118="Única"),"",EDATE(D118,IF(F118="Mensal",1,IF(F118="Trimestral",3,IF(F118="Semestral",6,12)))))</f>
        <v/>
      </c>
      <c r="L118" s="14" t="n"/>
    </row>
    <row r="119">
      <c r="A119" s="14" t="n"/>
      <c r="B119" s="14" t="n"/>
      <c r="C119" s="14" t="n"/>
      <c r="D119" s="15" t="n"/>
      <c r="E119" s="16" t="n"/>
      <c r="F119" s="14" t="n"/>
      <c r="G119" s="17" t="n"/>
      <c r="H119" s="14" t="n"/>
      <c r="I119" s="17">
        <f>IF(OR(A119="",D119="",H119="Feito"),"",D119-TODAY())</f>
        <v/>
      </c>
      <c r="J119" s="14">
        <f>IF(OR(A119="",D119=""),"",IF(H119="Feito","FEITO",IF(I119&lt;0,"VENCIDO",IF(I119&lt;=IF(G119="",7,G119),"VENCE EM BREVE","No prazo"))))</f>
        <v/>
      </c>
      <c r="K119" s="15">
        <f>IF(OR(D119="",F119="",F119="Única"),"",EDATE(D119,IF(F119="Mensal",1,IF(F119="Trimestral",3,IF(F119="Semestral",6,12)))))</f>
        <v/>
      </c>
      <c r="L119" s="14" t="n"/>
    </row>
    <row r="120">
      <c r="A120" s="14" t="n"/>
      <c r="B120" s="14" t="n"/>
      <c r="C120" s="14" t="n"/>
      <c r="D120" s="15" t="n"/>
      <c r="E120" s="16" t="n"/>
      <c r="F120" s="14" t="n"/>
      <c r="G120" s="17" t="n"/>
      <c r="H120" s="14" t="n"/>
      <c r="I120" s="17">
        <f>IF(OR(A120="",D120="",H120="Feito"),"",D120-TODAY())</f>
        <v/>
      </c>
      <c r="J120" s="14">
        <f>IF(OR(A120="",D120=""),"",IF(H120="Feito","FEITO",IF(I120&lt;0,"VENCIDO",IF(I120&lt;=IF(G120="",7,G120),"VENCE EM BREVE","No prazo"))))</f>
        <v/>
      </c>
      <c r="K120" s="15">
        <f>IF(OR(D120="",F120="",F120="Única"),"",EDATE(D120,IF(F120="Mensal",1,IF(F120="Trimestral",3,IF(F120="Semestral",6,12)))))</f>
        <v/>
      </c>
      <c r="L120" s="14" t="n"/>
    </row>
    <row r="121">
      <c r="A121" s="14" t="n"/>
      <c r="B121" s="14" t="n"/>
      <c r="C121" s="14" t="n"/>
      <c r="D121" s="15" t="n"/>
      <c r="E121" s="16" t="n"/>
      <c r="F121" s="14" t="n"/>
      <c r="G121" s="17" t="n"/>
      <c r="H121" s="14" t="n"/>
      <c r="I121" s="17">
        <f>IF(OR(A121="",D121="",H121="Feito"),"",D121-TODAY())</f>
        <v/>
      </c>
      <c r="J121" s="14">
        <f>IF(OR(A121="",D121=""),"",IF(H121="Feito","FEITO",IF(I121&lt;0,"VENCIDO",IF(I121&lt;=IF(G121="",7,G121),"VENCE EM BREVE","No prazo"))))</f>
        <v/>
      </c>
      <c r="K121" s="15">
        <f>IF(OR(D121="",F121="",F121="Única"),"",EDATE(D121,IF(F121="Mensal",1,IF(F121="Trimestral",3,IF(F121="Semestral",6,12)))))</f>
        <v/>
      </c>
      <c r="L121" s="14" t="n"/>
    </row>
    <row r="122">
      <c r="A122" s="14" t="n"/>
      <c r="B122" s="14" t="n"/>
      <c r="C122" s="14" t="n"/>
      <c r="D122" s="15" t="n"/>
      <c r="E122" s="16" t="n"/>
      <c r="F122" s="14" t="n"/>
      <c r="G122" s="17" t="n"/>
      <c r="H122" s="14" t="n"/>
      <c r="I122" s="17">
        <f>IF(OR(A122="",D122="",H122="Feito"),"",D122-TODAY())</f>
        <v/>
      </c>
      <c r="J122" s="14">
        <f>IF(OR(A122="",D122=""),"",IF(H122="Feito","FEITO",IF(I122&lt;0,"VENCIDO",IF(I122&lt;=IF(G122="",7,G122),"VENCE EM BREVE","No prazo"))))</f>
        <v/>
      </c>
      <c r="K122" s="15">
        <f>IF(OR(D122="",F122="",F122="Única"),"",EDATE(D122,IF(F122="Mensal",1,IF(F122="Trimestral",3,IF(F122="Semestral",6,12)))))</f>
        <v/>
      </c>
      <c r="L122" s="14" t="n"/>
    </row>
    <row r="123">
      <c r="A123" s="14" t="n"/>
      <c r="B123" s="14" t="n"/>
      <c r="C123" s="14" t="n"/>
      <c r="D123" s="15" t="n"/>
      <c r="E123" s="16" t="n"/>
      <c r="F123" s="14" t="n"/>
      <c r="G123" s="17" t="n"/>
      <c r="H123" s="14" t="n"/>
      <c r="I123" s="17">
        <f>IF(OR(A123="",D123="",H123="Feito"),"",D123-TODAY())</f>
        <v/>
      </c>
      <c r="J123" s="14">
        <f>IF(OR(A123="",D123=""),"",IF(H123="Feito","FEITO",IF(I123&lt;0,"VENCIDO",IF(I123&lt;=IF(G123="",7,G123),"VENCE EM BREVE","No prazo"))))</f>
        <v/>
      </c>
      <c r="K123" s="15">
        <f>IF(OR(D123="",F123="",F123="Única"),"",EDATE(D123,IF(F123="Mensal",1,IF(F123="Trimestral",3,IF(F123="Semestral",6,12)))))</f>
        <v/>
      </c>
      <c r="L123" s="14" t="n"/>
    </row>
    <row r="124">
      <c r="A124" s="14" t="n"/>
      <c r="B124" s="14" t="n"/>
      <c r="C124" s="14" t="n"/>
      <c r="D124" s="15" t="n"/>
      <c r="E124" s="16" t="n"/>
      <c r="F124" s="14" t="n"/>
      <c r="G124" s="17" t="n"/>
      <c r="H124" s="14" t="n"/>
      <c r="I124" s="17">
        <f>IF(OR(A124="",D124="",H124="Feito"),"",D124-TODAY())</f>
        <v/>
      </c>
      <c r="J124" s="14">
        <f>IF(OR(A124="",D124=""),"",IF(H124="Feito","FEITO",IF(I124&lt;0,"VENCIDO",IF(I124&lt;=IF(G124="",7,G124),"VENCE EM BREVE","No prazo"))))</f>
        <v/>
      </c>
      <c r="K124" s="15">
        <f>IF(OR(D124="",F124="",F124="Única"),"",EDATE(D124,IF(F124="Mensal",1,IF(F124="Trimestral",3,IF(F124="Semestral",6,12)))))</f>
        <v/>
      </c>
      <c r="L124" s="14" t="n"/>
    </row>
    <row r="125">
      <c r="A125" s="14" t="n"/>
      <c r="B125" s="14" t="n"/>
      <c r="C125" s="14" t="n"/>
      <c r="D125" s="15" t="n"/>
      <c r="E125" s="16" t="n"/>
      <c r="F125" s="14" t="n"/>
      <c r="G125" s="17" t="n"/>
      <c r="H125" s="14" t="n"/>
      <c r="I125" s="17">
        <f>IF(OR(A125="",D125="",H125="Feito"),"",D125-TODAY())</f>
        <v/>
      </c>
      <c r="J125" s="14">
        <f>IF(OR(A125="",D125=""),"",IF(H125="Feito","FEITO",IF(I125&lt;0,"VENCIDO",IF(I125&lt;=IF(G125="",7,G125),"VENCE EM BREVE","No prazo"))))</f>
        <v/>
      </c>
      <c r="K125" s="15">
        <f>IF(OR(D125="",F125="",F125="Única"),"",EDATE(D125,IF(F125="Mensal",1,IF(F125="Trimestral",3,IF(F125="Semestral",6,12)))))</f>
        <v/>
      </c>
      <c r="L125" s="14" t="n"/>
    </row>
    <row r="126">
      <c r="A126" s="14" t="n"/>
      <c r="B126" s="14" t="n"/>
      <c r="C126" s="14" t="n"/>
      <c r="D126" s="15" t="n"/>
      <c r="E126" s="16" t="n"/>
      <c r="F126" s="14" t="n"/>
      <c r="G126" s="17" t="n"/>
      <c r="H126" s="14" t="n"/>
      <c r="I126" s="17">
        <f>IF(OR(A126="",D126="",H126="Feito"),"",D126-TODAY())</f>
        <v/>
      </c>
      <c r="J126" s="14">
        <f>IF(OR(A126="",D126=""),"",IF(H126="Feito","FEITO",IF(I126&lt;0,"VENCIDO",IF(I126&lt;=IF(G126="",7,G126),"VENCE EM BREVE","No prazo"))))</f>
        <v/>
      </c>
      <c r="K126" s="15">
        <f>IF(OR(D126="",F126="",F126="Única"),"",EDATE(D126,IF(F126="Mensal",1,IF(F126="Trimestral",3,IF(F126="Semestral",6,12)))))</f>
        <v/>
      </c>
      <c r="L126" s="14" t="n"/>
    </row>
    <row r="127">
      <c r="A127" s="14" t="n"/>
      <c r="B127" s="14" t="n"/>
      <c r="C127" s="14" t="n"/>
      <c r="D127" s="15" t="n"/>
      <c r="E127" s="16" t="n"/>
      <c r="F127" s="14" t="n"/>
      <c r="G127" s="17" t="n"/>
      <c r="H127" s="14" t="n"/>
      <c r="I127" s="17">
        <f>IF(OR(A127="",D127="",H127="Feito"),"",D127-TODAY())</f>
        <v/>
      </c>
      <c r="J127" s="14">
        <f>IF(OR(A127="",D127=""),"",IF(H127="Feito","FEITO",IF(I127&lt;0,"VENCIDO",IF(I127&lt;=IF(G127="",7,G127),"VENCE EM BREVE","No prazo"))))</f>
        <v/>
      </c>
      <c r="K127" s="15">
        <f>IF(OR(D127="",F127="",F127="Única"),"",EDATE(D127,IF(F127="Mensal",1,IF(F127="Trimestral",3,IF(F127="Semestral",6,12)))))</f>
        <v/>
      </c>
      <c r="L127" s="14" t="n"/>
    </row>
    <row r="128">
      <c r="A128" s="14" t="n"/>
      <c r="B128" s="14" t="n"/>
      <c r="C128" s="14" t="n"/>
      <c r="D128" s="15" t="n"/>
      <c r="E128" s="16" t="n"/>
      <c r="F128" s="14" t="n"/>
      <c r="G128" s="17" t="n"/>
      <c r="H128" s="14" t="n"/>
      <c r="I128" s="17">
        <f>IF(OR(A128="",D128="",H128="Feito"),"",D128-TODAY())</f>
        <v/>
      </c>
      <c r="J128" s="14">
        <f>IF(OR(A128="",D128=""),"",IF(H128="Feito","FEITO",IF(I128&lt;0,"VENCIDO",IF(I128&lt;=IF(G128="",7,G128),"VENCE EM BREVE","No prazo"))))</f>
        <v/>
      </c>
      <c r="K128" s="15">
        <f>IF(OR(D128="",F128="",F128="Única"),"",EDATE(D128,IF(F128="Mensal",1,IF(F128="Trimestral",3,IF(F128="Semestral",6,12)))))</f>
        <v/>
      </c>
      <c r="L128" s="14" t="n"/>
    </row>
    <row r="129">
      <c r="A129" s="14" t="n"/>
      <c r="B129" s="14" t="n"/>
      <c r="C129" s="14" t="n"/>
      <c r="D129" s="15" t="n"/>
      <c r="E129" s="16" t="n"/>
      <c r="F129" s="14" t="n"/>
      <c r="G129" s="17" t="n"/>
      <c r="H129" s="14" t="n"/>
      <c r="I129" s="17">
        <f>IF(OR(A129="",D129="",H129="Feito"),"",D129-TODAY())</f>
        <v/>
      </c>
      <c r="J129" s="14">
        <f>IF(OR(A129="",D129=""),"",IF(H129="Feito","FEITO",IF(I129&lt;0,"VENCIDO",IF(I129&lt;=IF(G129="",7,G129),"VENCE EM BREVE","No prazo"))))</f>
        <v/>
      </c>
      <c r="K129" s="15">
        <f>IF(OR(D129="",F129="",F129="Única"),"",EDATE(D129,IF(F129="Mensal",1,IF(F129="Trimestral",3,IF(F129="Semestral",6,12)))))</f>
        <v/>
      </c>
      <c r="L129" s="14" t="n"/>
    </row>
    <row r="130">
      <c r="A130" s="14" t="n"/>
      <c r="B130" s="14" t="n"/>
      <c r="C130" s="14" t="n"/>
      <c r="D130" s="15" t="n"/>
      <c r="E130" s="16" t="n"/>
      <c r="F130" s="14" t="n"/>
      <c r="G130" s="17" t="n"/>
      <c r="H130" s="14" t="n"/>
      <c r="I130" s="17">
        <f>IF(OR(A130="",D130="",H130="Feito"),"",D130-TODAY())</f>
        <v/>
      </c>
      <c r="J130" s="14">
        <f>IF(OR(A130="",D130=""),"",IF(H130="Feito","FEITO",IF(I130&lt;0,"VENCIDO",IF(I130&lt;=IF(G130="",7,G130),"VENCE EM BREVE","No prazo"))))</f>
        <v/>
      </c>
      <c r="K130" s="15">
        <f>IF(OR(D130="",F130="",F130="Única"),"",EDATE(D130,IF(F130="Mensal",1,IF(F130="Trimestral",3,IF(F130="Semestral",6,12)))))</f>
        <v/>
      </c>
      <c r="L130" s="14" t="n"/>
    </row>
    <row r="131">
      <c r="A131" s="14" t="n"/>
      <c r="B131" s="14" t="n"/>
      <c r="C131" s="14" t="n"/>
      <c r="D131" s="15" t="n"/>
      <c r="E131" s="16" t="n"/>
      <c r="F131" s="14" t="n"/>
      <c r="G131" s="17" t="n"/>
      <c r="H131" s="14" t="n"/>
      <c r="I131" s="17">
        <f>IF(OR(A131="",D131="",H131="Feito"),"",D131-TODAY())</f>
        <v/>
      </c>
      <c r="J131" s="14">
        <f>IF(OR(A131="",D131=""),"",IF(H131="Feito","FEITO",IF(I131&lt;0,"VENCIDO",IF(I131&lt;=IF(G131="",7,G131),"VENCE EM BREVE","No prazo"))))</f>
        <v/>
      </c>
      <c r="K131" s="15">
        <f>IF(OR(D131="",F131="",F131="Única"),"",EDATE(D131,IF(F131="Mensal",1,IF(F131="Trimestral",3,IF(F131="Semestral",6,12)))))</f>
        <v/>
      </c>
      <c r="L131" s="14" t="n"/>
    </row>
    <row r="132">
      <c r="A132" s="14" t="n"/>
      <c r="B132" s="14" t="n"/>
      <c r="C132" s="14" t="n"/>
      <c r="D132" s="15" t="n"/>
      <c r="E132" s="16" t="n"/>
      <c r="F132" s="14" t="n"/>
      <c r="G132" s="17" t="n"/>
      <c r="H132" s="14" t="n"/>
      <c r="I132" s="17">
        <f>IF(OR(A132="",D132="",H132="Feito"),"",D132-TODAY())</f>
        <v/>
      </c>
      <c r="J132" s="14">
        <f>IF(OR(A132="",D132=""),"",IF(H132="Feito","FEITO",IF(I132&lt;0,"VENCIDO",IF(I132&lt;=IF(G132="",7,G132),"VENCE EM BREVE","No prazo"))))</f>
        <v/>
      </c>
      <c r="K132" s="15">
        <f>IF(OR(D132="",F132="",F132="Única"),"",EDATE(D132,IF(F132="Mensal",1,IF(F132="Trimestral",3,IF(F132="Semestral",6,12)))))</f>
        <v/>
      </c>
      <c r="L132" s="14" t="n"/>
    </row>
    <row r="133">
      <c r="A133" s="14" t="n"/>
      <c r="B133" s="14" t="n"/>
      <c r="C133" s="14" t="n"/>
      <c r="D133" s="15" t="n"/>
      <c r="E133" s="16" t="n"/>
      <c r="F133" s="14" t="n"/>
      <c r="G133" s="17" t="n"/>
      <c r="H133" s="14" t="n"/>
      <c r="I133" s="17">
        <f>IF(OR(A133="",D133="",H133="Feito"),"",D133-TODAY())</f>
        <v/>
      </c>
      <c r="J133" s="14">
        <f>IF(OR(A133="",D133=""),"",IF(H133="Feito","FEITO",IF(I133&lt;0,"VENCIDO",IF(I133&lt;=IF(G133="",7,G133),"VENCE EM BREVE","No prazo"))))</f>
        <v/>
      </c>
      <c r="K133" s="15">
        <f>IF(OR(D133="",F133="",F133="Única"),"",EDATE(D133,IF(F133="Mensal",1,IF(F133="Trimestral",3,IF(F133="Semestral",6,12)))))</f>
        <v/>
      </c>
      <c r="L133" s="14" t="n"/>
    </row>
    <row r="134">
      <c r="A134" s="14" t="n"/>
      <c r="B134" s="14" t="n"/>
      <c r="C134" s="14" t="n"/>
      <c r="D134" s="15" t="n"/>
      <c r="E134" s="16" t="n"/>
      <c r="F134" s="14" t="n"/>
      <c r="G134" s="17" t="n"/>
      <c r="H134" s="14" t="n"/>
      <c r="I134" s="17">
        <f>IF(OR(A134="",D134="",H134="Feito"),"",D134-TODAY())</f>
        <v/>
      </c>
      <c r="J134" s="14">
        <f>IF(OR(A134="",D134=""),"",IF(H134="Feito","FEITO",IF(I134&lt;0,"VENCIDO",IF(I134&lt;=IF(G134="",7,G134),"VENCE EM BREVE","No prazo"))))</f>
        <v/>
      </c>
      <c r="K134" s="15">
        <f>IF(OR(D134="",F134="",F134="Única"),"",EDATE(D134,IF(F134="Mensal",1,IF(F134="Trimestral",3,IF(F134="Semestral",6,12)))))</f>
        <v/>
      </c>
      <c r="L134" s="14" t="n"/>
    </row>
    <row r="135">
      <c r="A135" s="14" t="n"/>
      <c r="B135" s="14" t="n"/>
      <c r="C135" s="14" t="n"/>
      <c r="D135" s="15" t="n"/>
      <c r="E135" s="16" t="n"/>
      <c r="F135" s="14" t="n"/>
      <c r="G135" s="17" t="n"/>
      <c r="H135" s="14" t="n"/>
      <c r="I135" s="17">
        <f>IF(OR(A135="",D135="",H135="Feito"),"",D135-TODAY())</f>
        <v/>
      </c>
      <c r="J135" s="14">
        <f>IF(OR(A135="",D135=""),"",IF(H135="Feito","FEITO",IF(I135&lt;0,"VENCIDO",IF(I135&lt;=IF(G135="",7,G135),"VENCE EM BREVE","No prazo"))))</f>
        <v/>
      </c>
      <c r="K135" s="15">
        <f>IF(OR(D135="",F135="",F135="Única"),"",EDATE(D135,IF(F135="Mensal",1,IF(F135="Trimestral",3,IF(F135="Semestral",6,12)))))</f>
        <v/>
      </c>
      <c r="L135" s="14" t="n"/>
    </row>
    <row r="136">
      <c r="A136" s="14" t="n"/>
      <c r="B136" s="14" t="n"/>
      <c r="C136" s="14" t="n"/>
      <c r="D136" s="15" t="n"/>
      <c r="E136" s="16" t="n"/>
      <c r="F136" s="14" t="n"/>
      <c r="G136" s="17" t="n"/>
      <c r="H136" s="14" t="n"/>
      <c r="I136" s="17">
        <f>IF(OR(A136="",D136="",H136="Feito"),"",D136-TODAY())</f>
        <v/>
      </c>
      <c r="J136" s="14">
        <f>IF(OR(A136="",D136=""),"",IF(H136="Feito","FEITO",IF(I136&lt;0,"VENCIDO",IF(I136&lt;=IF(G136="",7,G136),"VENCE EM BREVE","No prazo"))))</f>
        <v/>
      </c>
      <c r="K136" s="15">
        <f>IF(OR(D136="",F136="",F136="Única"),"",EDATE(D136,IF(F136="Mensal",1,IF(F136="Trimestral",3,IF(F136="Semestral",6,12)))))</f>
        <v/>
      </c>
      <c r="L136" s="14" t="n"/>
    </row>
    <row r="137">
      <c r="A137" s="14" t="n"/>
      <c r="B137" s="14" t="n"/>
      <c r="C137" s="14" t="n"/>
      <c r="D137" s="15" t="n"/>
      <c r="E137" s="16" t="n"/>
      <c r="F137" s="14" t="n"/>
      <c r="G137" s="17" t="n"/>
      <c r="H137" s="14" t="n"/>
      <c r="I137" s="17">
        <f>IF(OR(A137="",D137="",H137="Feito"),"",D137-TODAY())</f>
        <v/>
      </c>
      <c r="J137" s="14">
        <f>IF(OR(A137="",D137=""),"",IF(H137="Feito","FEITO",IF(I137&lt;0,"VENCIDO",IF(I137&lt;=IF(G137="",7,G137),"VENCE EM BREVE","No prazo"))))</f>
        <v/>
      </c>
      <c r="K137" s="15">
        <f>IF(OR(D137="",F137="",F137="Única"),"",EDATE(D137,IF(F137="Mensal",1,IF(F137="Trimestral",3,IF(F137="Semestral",6,12)))))</f>
        <v/>
      </c>
      <c r="L137" s="14" t="n"/>
    </row>
    <row r="138">
      <c r="A138" s="14" t="n"/>
      <c r="B138" s="14" t="n"/>
      <c r="C138" s="14" t="n"/>
      <c r="D138" s="15" t="n"/>
      <c r="E138" s="16" t="n"/>
      <c r="F138" s="14" t="n"/>
      <c r="G138" s="17" t="n"/>
      <c r="H138" s="14" t="n"/>
      <c r="I138" s="17">
        <f>IF(OR(A138="",D138="",H138="Feito"),"",D138-TODAY())</f>
        <v/>
      </c>
      <c r="J138" s="14">
        <f>IF(OR(A138="",D138=""),"",IF(H138="Feito","FEITO",IF(I138&lt;0,"VENCIDO",IF(I138&lt;=IF(G138="",7,G138),"VENCE EM BREVE","No prazo"))))</f>
        <v/>
      </c>
      <c r="K138" s="15">
        <f>IF(OR(D138="",F138="",F138="Única"),"",EDATE(D138,IF(F138="Mensal",1,IF(F138="Trimestral",3,IF(F138="Semestral",6,12)))))</f>
        <v/>
      </c>
      <c r="L138" s="14" t="n"/>
    </row>
    <row r="139">
      <c r="A139" s="14" t="n"/>
      <c r="B139" s="14" t="n"/>
      <c r="C139" s="14" t="n"/>
      <c r="D139" s="15" t="n"/>
      <c r="E139" s="16" t="n"/>
      <c r="F139" s="14" t="n"/>
      <c r="G139" s="17" t="n"/>
      <c r="H139" s="14" t="n"/>
      <c r="I139" s="17">
        <f>IF(OR(A139="",D139="",H139="Feito"),"",D139-TODAY())</f>
        <v/>
      </c>
      <c r="J139" s="14">
        <f>IF(OR(A139="",D139=""),"",IF(H139="Feito","FEITO",IF(I139&lt;0,"VENCIDO",IF(I139&lt;=IF(G139="",7,G139),"VENCE EM BREVE","No prazo"))))</f>
        <v/>
      </c>
      <c r="K139" s="15">
        <f>IF(OR(D139="",F139="",F139="Única"),"",EDATE(D139,IF(F139="Mensal",1,IF(F139="Trimestral",3,IF(F139="Semestral",6,12)))))</f>
        <v/>
      </c>
      <c r="L139" s="14" t="n"/>
    </row>
    <row r="140">
      <c r="A140" s="14" t="n"/>
      <c r="B140" s="14" t="n"/>
      <c r="C140" s="14" t="n"/>
      <c r="D140" s="15" t="n"/>
      <c r="E140" s="16" t="n"/>
      <c r="F140" s="14" t="n"/>
      <c r="G140" s="17" t="n"/>
      <c r="H140" s="14" t="n"/>
      <c r="I140" s="17">
        <f>IF(OR(A140="",D140="",H140="Feito"),"",D140-TODAY())</f>
        <v/>
      </c>
      <c r="J140" s="14">
        <f>IF(OR(A140="",D140=""),"",IF(H140="Feito","FEITO",IF(I140&lt;0,"VENCIDO",IF(I140&lt;=IF(G140="",7,G140),"VENCE EM BREVE","No prazo"))))</f>
        <v/>
      </c>
      <c r="K140" s="15">
        <f>IF(OR(D140="",F140="",F140="Única"),"",EDATE(D140,IF(F140="Mensal",1,IF(F140="Trimestral",3,IF(F140="Semestral",6,12)))))</f>
        <v/>
      </c>
      <c r="L140" s="14" t="n"/>
    </row>
    <row r="141">
      <c r="A141" s="14" t="n"/>
      <c r="B141" s="14" t="n"/>
      <c r="C141" s="14" t="n"/>
      <c r="D141" s="15" t="n"/>
      <c r="E141" s="16" t="n"/>
      <c r="F141" s="14" t="n"/>
      <c r="G141" s="17" t="n"/>
      <c r="H141" s="14" t="n"/>
      <c r="I141" s="17">
        <f>IF(OR(A141="",D141="",H141="Feito"),"",D141-TODAY())</f>
        <v/>
      </c>
      <c r="J141" s="14">
        <f>IF(OR(A141="",D141=""),"",IF(H141="Feito","FEITO",IF(I141&lt;0,"VENCIDO",IF(I141&lt;=IF(G141="",7,G141),"VENCE EM BREVE","No prazo"))))</f>
        <v/>
      </c>
      <c r="K141" s="15">
        <f>IF(OR(D141="",F141="",F141="Única"),"",EDATE(D141,IF(F141="Mensal",1,IF(F141="Trimestral",3,IF(F141="Semestral",6,12)))))</f>
        <v/>
      </c>
      <c r="L141" s="14" t="n"/>
    </row>
    <row r="142">
      <c r="A142" s="14" t="n"/>
      <c r="B142" s="14" t="n"/>
      <c r="C142" s="14" t="n"/>
      <c r="D142" s="15" t="n"/>
      <c r="E142" s="16" t="n"/>
      <c r="F142" s="14" t="n"/>
      <c r="G142" s="17" t="n"/>
      <c r="H142" s="14" t="n"/>
      <c r="I142" s="17">
        <f>IF(OR(A142="",D142="",H142="Feito"),"",D142-TODAY())</f>
        <v/>
      </c>
      <c r="J142" s="14">
        <f>IF(OR(A142="",D142=""),"",IF(H142="Feito","FEITO",IF(I142&lt;0,"VENCIDO",IF(I142&lt;=IF(G142="",7,G142),"VENCE EM BREVE","No prazo"))))</f>
        <v/>
      </c>
      <c r="K142" s="15">
        <f>IF(OR(D142="",F142="",F142="Única"),"",EDATE(D142,IF(F142="Mensal",1,IF(F142="Trimestral",3,IF(F142="Semestral",6,12)))))</f>
        <v/>
      </c>
      <c r="L142" s="14" t="n"/>
    </row>
    <row r="143">
      <c r="A143" s="14" t="n"/>
      <c r="B143" s="14" t="n"/>
      <c r="C143" s="14" t="n"/>
      <c r="D143" s="15" t="n"/>
      <c r="E143" s="16" t="n"/>
      <c r="F143" s="14" t="n"/>
      <c r="G143" s="17" t="n"/>
      <c r="H143" s="14" t="n"/>
      <c r="I143" s="17">
        <f>IF(OR(A143="",D143="",H143="Feito"),"",D143-TODAY())</f>
        <v/>
      </c>
      <c r="J143" s="14">
        <f>IF(OR(A143="",D143=""),"",IF(H143="Feito","FEITO",IF(I143&lt;0,"VENCIDO",IF(I143&lt;=IF(G143="",7,G143),"VENCE EM BREVE","No prazo"))))</f>
        <v/>
      </c>
      <c r="K143" s="15">
        <f>IF(OR(D143="",F143="",F143="Única"),"",EDATE(D143,IF(F143="Mensal",1,IF(F143="Trimestral",3,IF(F143="Semestral",6,12)))))</f>
        <v/>
      </c>
      <c r="L143" s="14" t="n"/>
    </row>
    <row r="144">
      <c r="A144" s="14" t="n"/>
      <c r="B144" s="14" t="n"/>
      <c r="C144" s="14" t="n"/>
      <c r="D144" s="15" t="n"/>
      <c r="E144" s="16" t="n"/>
      <c r="F144" s="14" t="n"/>
      <c r="G144" s="17" t="n"/>
      <c r="H144" s="14" t="n"/>
      <c r="I144" s="17">
        <f>IF(OR(A144="",D144="",H144="Feito"),"",D144-TODAY())</f>
        <v/>
      </c>
      <c r="J144" s="14">
        <f>IF(OR(A144="",D144=""),"",IF(H144="Feito","FEITO",IF(I144&lt;0,"VENCIDO",IF(I144&lt;=IF(G144="",7,G144),"VENCE EM BREVE","No prazo"))))</f>
        <v/>
      </c>
      <c r="K144" s="15">
        <f>IF(OR(D144="",F144="",F144="Única"),"",EDATE(D144,IF(F144="Mensal",1,IF(F144="Trimestral",3,IF(F144="Semestral",6,12)))))</f>
        <v/>
      </c>
      <c r="L144" s="14" t="n"/>
    </row>
    <row r="145">
      <c r="A145" s="14" t="n"/>
      <c r="B145" s="14" t="n"/>
      <c r="C145" s="14" t="n"/>
      <c r="D145" s="15" t="n"/>
      <c r="E145" s="16" t="n"/>
      <c r="F145" s="14" t="n"/>
      <c r="G145" s="17" t="n"/>
      <c r="H145" s="14" t="n"/>
      <c r="I145" s="17">
        <f>IF(OR(A145="",D145="",H145="Feito"),"",D145-TODAY())</f>
        <v/>
      </c>
      <c r="J145" s="14">
        <f>IF(OR(A145="",D145=""),"",IF(H145="Feito","FEITO",IF(I145&lt;0,"VENCIDO",IF(I145&lt;=IF(G145="",7,G145),"VENCE EM BREVE","No prazo"))))</f>
        <v/>
      </c>
      <c r="K145" s="15">
        <f>IF(OR(D145="",F145="",F145="Única"),"",EDATE(D145,IF(F145="Mensal",1,IF(F145="Trimestral",3,IF(F145="Semestral",6,12)))))</f>
        <v/>
      </c>
      <c r="L145" s="14" t="n"/>
    </row>
    <row r="146">
      <c r="A146" s="14" t="n"/>
      <c r="B146" s="14" t="n"/>
      <c r="C146" s="14" t="n"/>
      <c r="D146" s="15" t="n"/>
      <c r="E146" s="16" t="n"/>
      <c r="F146" s="14" t="n"/>
      <c r="G146" s="17" t="n"/>
      <c r="H146" s="14" t="n"/>
      <c r="I146" s="17">
        <f>IF(OR(A146="",D146="",H146="Feito"),"",D146-TODAY())</f>
        <v/>
      </c>
      <c r="J146" s="14">
        <f>IF(OR(A146="",D146=""),"",IF(H146="Feito","FEITO",IF(I146&lt;0,"VENCIDO",IF(I146&lt;=IF(G146="",7,G146),"VENCE EM BREVE","No prazo"))))</f>
        <v/>
      </c>
      <c r="K146" s="15">
        <f>IF(OR(D146="",F146="",F146="Única"),"",EDATE(D146,IF(F146="Mensal",1,IF(F146="Trimestral",3,IF(F146="Semestral",6,12)))))</f>
        <v/>
      </c>
      <c r="L146" s="14" t="n"/>
    </row>
    <row r="147">
      <c r="A147" s="14" t="n"/>
      <c r="B147" s="14" t="n"/>
      <c r="C147" s="14" t="n"/>
      <c r="D147" s="15" t="n"/>
      <c r="E147" s="16" t="n"/>
      <c r="F147" s="14" t="n"/>
      <c r="G147" s="17" t="n"/>
      <c r="H147" s="14" t="n"/>
      <c r="I147" s="17">
        <f>IF(OR(A147="",D147="",H147="Feito"),"",D147-TODAY())</f>
        <v/>
      </c>
      <c r="J147" s="14">
        <f>IF(OR(A147="",D147=""),"",IF(H147="Feito","FEITO",IF(I147&lt;0,"VENCIDO",IF(I147&lt;=IF(G147="",7,G147),"VENCE EM BREVE","No prazo"))))</f>
        <v/>
      </c>
      <c r="K147" s="15">
        <f>IF(OR(D147="",F147="",F147="Única"),"",EDATE(D147,IF(F147="Mensal",1,IF(F147="Trimestral",3,IF(F147="Semestral",6,12)))))</f>
        <v/>
      </c>
      <c r="L147" s="14" t="n"/>
    </row>
    <row r="148">
      <c r="A148" s="14" t="n"/>
      <c r="B148" s="14" t="n"/>
      <c r="C148" s="14" t="n"/>
      <c r="D148" s="15" t="n"/>
      <c r="E148" s="16" t="n"/>
      <c r="F148" s="14" t="n"/>
      <c r="G148" s="17" t="n"/>
      <c r="H148" s="14" t="n"/>
      <c r="I148" s="17">
        <f>IF(OR(A148="",D148="",H148="Feito"),"",D148-TODAY())</f>
        <v/>
      </c>
      <c r="J148" s="14">
        <f>IF(OR(A148="",D148=""),"",IF(H148="Feito","FEITO",IF(I148&lt;0,"VENCIDO",IF(I148&lt;=IF(G148="",7,G148),"VENCE EM BREVE","No prazo"))))</f>
        <v/>
      </c>
      <c r="K148" s="15">
        <f>IF(OR(D148="",F148="",F148="Única"),"",EDATE(D148,IF(F148="Mensal",1,IF(F148="Trimestral",3,IF(F148="Semestral",6,12)))))</f>
        <v/>
      </c>
      <c r="L148" s="14" t="n"/>
    </row>
    <row r="149">
      <c r="A149" s="14" t="n"/>
      <c r="B149" s="14" t="n"/>
      <c r="C149" s="14" t="n"/>
      <c r="D149" s="15" t="n"/>
      <c r="E149" s="16" t="n"/>
      <c r="F149" s="14" t="n"/>
      <c r="G149" s="17" t="n"/>
      <c r="H149" s="14" t="n"/>
      <c r="I149" s="17">
        <f>IF(OR(A149="",D149="",H149="Feito"),"",D149-TODAY())</f>
        <v/>
      </c>
      <c r="J149" s="14">
        <f>IF(OR(A149="",D149=""),"",IF(H149="Feito","FEITO",IF(I149&lt;0,"VENCIDO",IF(I149&lt;=IF(G149="",7,G149),"VENCE EM BREVE","No prazo"))))</f>
        <v/>
      </c>
      <c r="K149" s="15">
        <f>IF(OR(D149="",F149="",F149="Única"),"",EDATE(D149,IF(F149="Mensal",1,IF(F149="Trimestral",3,IF(F149="Semestral",6,12)))))</f>
        <v/>
      </c>
      <c r="L149" s="14" t="n"/>
    </row>
    <row r="150">
      <c r="A150" s="14" t="n"/>
      <c r="B150" s="14" t="n"/>
      <c r="C150" s="14" t="n"/>
      <c r="D150" s="15" t="n"/>
      <c r="E150" s="16" t="n"/>
      <c r="F150" s="14" t="n"/>
      <c r="G150" s="17" t="n"/>
      <c r="H150" s="14" t="n"/>
      <c r="I150" s="17">
        <f>IF(OR(A150="",D150="",H150="Feito"),"",D150-TODAY())</f>
        <v/>
      </c>
      <c r="J150" s="14">
        <f>IF(OR(A150="",D150=""),"",IF(H150="Feito","FEITO",IF(I150&lt;0,"VENCIDO",IF(I150&lt;=IF(G150="",7,G150),"VENCE EM BREVE","No prazo"))))</f>
        <v/>
      </c>
      <c r="K150" s="15">
        <f>IF(OR(D150="",F150="",F150="Única"),"",EDATE(D150,IF(F150="Mensal",1,IF(F150="Trimestral",3,IF(F150="Semestral",6,12)))))</f>
        <v/>
      </c>
      <c r="L150" s="14" t="n"/>
    </row>
    <row r="151">
      <c r="A151" s="14" t="n"/>
      <c r="B151" s="14" t="n"/>
      <c r="C151" s="14" t="n"/>
      <c r="D151" s="15" t="n"/>
      <c r="E151" s="16" t="n"/>
      <c r="F151" s="14" t="n"/>
      <c r="G151" s="17" t="n"/>
      <c r="H151" s="14" t="n"/>
      <c r="I151" s="17">
        <f>IF(OR(A151="",D151="",H151="Feito"),"",D151-TODAY())</f>
        <v/>
      </c>
      <c r="J151" s="14">
        <f>IF(OR(A151="",D151=""),"",IF(H151="Feito","FEITO",IF(I151&lt;0,"VENCIDO",IF(I151&lt;=IF(G151="",7,G151),"VENCE EM BREVE","No prazo"))))</f>
        <v/>
      </c>
      <c r="K151" s="15">
        <f>IF(OR(D151="",F151="",F151="Única"),"",EDATE(D151,IF(F151="Mensal",1,IF(F151="Trimestral",3,IF(F151="Semestral",6,12)))))</f>
        <v/>
      </c>
      <c r="L151" s="14" t="n"/>
    </row>
    <row r="152">
      <c r="A152" s="14" t="n"/>
      <c r="B152" s="14" t="n"/>
      <c r="C152" s="14" t="n"/>
      <c r="D152" s="15" t="n"/>
      <c r="E152" s="16" t="n"/>
      <c r="F152" s="14" t="n"/>
      <c r="G152" s="17" t="n"/>
      <c r="H152" s="14" t="n"/>
      <c r="I152" s="17">
        <f>IF(OR(A152="",D152="",H152="Feito"),"",D152-TODAY())</f>
        <v/>
      </c>
      <c r="J152" s="14">
        <f>IF(OR(A152="",D152=""),"",IF(H152="Feito","FEITO",IF(I152&lt;0,"VENCIDO",IF(I152&lt;=IF(G152="",7,G152),"VENCE EM BREVE","No prazo"))))</f>
        <v/>
      </c>
      <c r="K152" s="15">
        <f>IF(OR(D152="",F152="",F152="Única"),"",EDATE(D152,IF(F152="Mensal",1,IF(F152="Trimestral",3,IF(F152="Semestral",6,12)))))</f>
        <v/>
      </c>
      <c r="L152" s="14" t="n"/>
    </row>
    <row r="153">
      <c r="A153" s="14" t="n"/>
      <c r="B153" s="14" t="n"/>
      <c r="C153" s="14" t="n"/>
      <c r="D153" s="15" t="n"/>
      <c r="E153" s="16" t="n"/>
      <c r="F153" s="14" t="n"/>
      <c r="G153" s="17" t="n"/>
      <c r="H153" s="14" t="n"/>
      <c r="I153" s="17">
        <f>IF(OR(A153="",D153="",H153="Feito"),"",D153-TODAY())</f>
        <v/>
      </c>
      <c r="J153" s="14">
        <f>IF(OR(A153="",D153=""),"",IF(H153="Feito","FEITO",IF(I153&lt;0,"VENCIDO",IF(I153&lt;=IF(G153="",7,G153),"VENCE EM BREVE","No prazo"))))</f>
        <v/>
      </c>
      <c r="K153" s="15">
        <f>IF(OR(D153="",F153="",F153="Única"),"",EDATE(D153,IF(F153="Mensal",1,IF(F153="Trimestral",3,IF(F153="Semestral",6,12)))))</f>
        <v/>
      </c>
      <c r="L153" s="14" t="n"/>
    </row>
    <row r="154">
      <c r="A154" s="14" t="n"/>
      <c r="B154" s="14" t="n"/>
      <c r="C154" s="14" t="n"/>
      <c r="D154" s="15" t="n"/>
      <c r="E154" s="16" t="n"/>
      <c r="F154" s="14" t="n"/>
      <c r="G154" s="17" t="n"/>
      <c r="H154" s="14" t="n"/>
      <c r="I154" s="17">
        <f>IF(OR(A154="",D154="",H154="Feito"),"",D154-TODAY())</f>
        <v/>
      </c>
      <c r="J154" s="14">
        <f>IF(OR(A154="",D154=""),"",IF(H154="Feito","FEITO",IF(I154&lt;0,"VENCIDO",IF(I154&lt;=IF(G154="",7,G154),"VENCE EM BREVE","No prazo"))))</f>
        <v/>
      </c>
      <c r="K154" s="15">
        <f>IF(OR(D154="",F154="",F154="Única"),"",EDATE(D154,IF(F154="Mensal",1,IF(F154="Trimestral",3,IF(F154="Semestral",6,12)))))</f>
        <v/>
      </c>
      <c r="L154" s="14" t="n"/>
    </row>
    <row r="155">
      <c r="A155" s="14" t="n"/>
      <c r="B155" s="14" t="n"/>
      <c r="C155" s="14" t="n"/>
      <c r="D155" s="15" t="n"/>
      <c r="E155" s="16" t="n"/>
      <c r="F155" s="14" t="n"/>
      <c r="G155" s="17" t="n"/>
      <c r="H155" s="14" t="n"/>
      <c r="I155" s="17">
        <f>IF(OR(A155="",D155="",H155="Feito"),"",D155-TODAY())</f>
        <v/>
      </c>
      <c r="J155" s="14">
        <f>IF(OR(A155="",D155=""),"",IF(H155="Feito","FEITO",IF(I155&lt;0,"VENCIDO",IF(I155&lt;=IF(G155="",7,G155),"VENCE EM BREVE","No prazo"))))</f>
        <v/>
      </c>
      <c r="K155" s="15">
        <f>IF(OR(D155="",F155="",F155="Única"),"",EDATE(D155,IF(F155="Mensal",1,IF(F155="Trimestral",3,IF(F155="Semestral",6,12)))))</f>
        <v/>
      </c>
      <c r="L155" s="14" t="n"/>
    </row>
    <row r="156">
      <c r="A156" s="14" t="n"/>
      <c r="B156" s="14" t="n"/>
      <c r="C156" s="14" t="n"/>
      <c r="D156" s="15" t="n"/>
      <c r="E156" s="16" t="n"/>
      <c r="F156" s="14" t="n"/>
      <c r="G156" s="17" t="n"/>
      <c r="H156" s="14" t="n"/>
      <c r="I156" s="17">
        <f>IF(OR(A156="",D156="",H156="Feito"),"",D156-TODAY())</f>
        <v/>
      </c>
      <c r="J156" s="14">
        <f>IF(OR(A156="",D156=""),"",IF(H156="Feito","FEITO",IF(I156&lt;0,"VENCIDO",IF(I156&lt;=IF(G156="",7,G156),"VENCE EM BREVE","No prazo"))))</f>
        <v/>
      </c>
      <c r="K156" s="15">
        <f>IF(OR(D156="",F156="",F156="Única"),"",EDATE(D156,IF(F156="Mensal",1,IF(F156="Trimestral",3,IF(F156="Semestral",6,12)))))</f>
        <v/>
      </c>
      <c r="L156" s="14" t="n"/>
    </row>
    <row r="157">
      <c r="A157" s="14" t="n"/>
      <c r="B157" s="14" t="n"/>
      <c r="C157" s="14" t="n"/>
      <c r="D157" s="15" t="n"/>
      <c r="E157" s="16" t="n"/>
      <c r="F157" s="14" t="n"/>
      <c r="G157" s="17" t="n"/>
      <c r="H157" s="14" t="n"/>
      <c r="I157" s="17">
        <f>IF(OR(A157="",D157="",H157="Feito"),"",D157-TODAY())</f>
        <v/>
      </c>
      <c r="J157" s="14">
        <f>IF(OR(A157="",D157=""),"",IF(H157="Feito","FEITO",IF(I157&lt;0,"VENCIDO",IF(I157&lt;=IF(G157="",7,G157),"VENCE EM BREVE","No prazo"))))</f>
        <v/>
      </c>
      <c r="K157" s="15">
        <f>IF(OR(D157="",F157="",F157="Única"),"",EDATE(D157,IF(F157="Mensal",1,IF(F157="Trimestral",3,IF(F157="Semestral",6,12)))))</f>
        <v/>
      </c>
      <c r="L157" s="14" t="n"/>
    </row>
    <row r="158">
      <c r="A158" s="14" t="n"/>
      <c r="B158" s="14" t="n"/>
      <c r="C158" s="14" t="n"/>
      <c r="D158" s="15" t="n"/>
      <c r="E158" s="16" t="n"/>
      <c r="F158" s="14" t="n"/>
      <c r="G158" s="17" t="n"/>
      <c r="H158" s="14" t="n"/>
      <c r="I158" s="17">
        <f>IF(OR(A158="",D158="",H158="Feito"),"",D158-TODAY())</f>
        <v/>
      </c>
      <c r="J158" s="14">
        <f>IF(OR(A158="",D158=""),"",IF(H158="Feito","FEITO",IF(I158&lt;0,"VENCIDO",IF(I158&lt;=IF(G158="",7,G158),"VENCE EM BREVE","No prazo"))))</f>
        <v/>
      </c>
      <c r="K158" s="15">
        <f>IF(OR(D158="",F158="",F158="Única"),"",EDATE(D158,IF(F158="Mensal",1,IF(F158="Trimestral",3,IF(F158="Semestral",6,12)))))</f>
        <v/>
      </c>
      <c r="L158" s="14" t="n"/>
    </row>
    <row r="159">
      <c r="A159" s="14" t="n"/>
      <c r="B159" s="14" t="n"/>
      <c r="C159" s="14" t="n"/>
      <c r="D159" s="15" t="n"/>
      <c r="E159" s="16" t="n"/>
      <c r="F159" s="14" t="n"/>
      <c r="G159" s="17" t="n"/>
      <c r="H159" s="14" t="n"/>
      <c r="I159" s="17">
        <f>IF(OR(A159="",D159="",H159="Feito"),"",D159-TODAY())</f>
        <v/>
      </c>
      <c r="J159" s="14">
        <f>IF(OR(A159="",D159=""),"",IF(H159="Feito","FEITO",IF(I159&lt;0,"VENCIDO",IF(I159&lt;=IF(G159="",7,G159),"VENCE EM BREVE","No prazo"))))</f>
        <v/>
      </c>
      <c r="K159" s="15">
        <f>IF(OR(D159="",F159="",F159="Única"),"",EDATE(D159,IF(F159="Mensal",1,IF(F159="Trimestral",3,IF(F159="Semestral",6,12)))))</f>
        <v/>
      </c>
      <c r="L159" s="14" t="n"/>
    </row>
    <row r="160">
      <c r="A160" s="14" t="n"/>
      <c r="B160" s="14" t="n"/>
      <c r="C160" s="14" t="n"/>
      <c r="D160" s="15" t="n"/>
      <c r="E160" s="16" t="n"/>
      <c r="F160" s="14" t="n"/>
      <c r="G160" s="17" t="n"/>
      <c r="H160" s="14" t="n"/>
      <c r="I160" s="17">
        <f>IF(OR(A160="",D160="",H160="Feito"),"",D160-TODAY())</f>
        <v/>
      </c>
      <c r="J160" s="14">
        <f>IF(OR(A160="",D160=""),"",IF(H160="Feito","FEITO",IF(I160&lt;0,"VENCIDO",IF(I160&lt;=IF(G160="",7,G160),"VENCE EM BREVE","No prazo"))))</f>
        <v/>
      </c>
      <c r="K160" s="15">
        <f>IF(OR(D160="",F160="",F160="Única"),"",EDATE(D160,IF(F160="Mensal",1,IF(F160="Trimestral",3,IF(F160="Semestral",6,12)))))</f>
        <v/>
      </c>
      <c r="L160" s="14" t="n"/>
    </row>
    <row r="161">
      <c r="A161" s="14" t="n"/>
      <c r="B161" s="14" t="n"/>
      <c r="C161" s="14" t="n"/>
      <c r="D161" s="15" t="n"/>
      <c r="E161" s="16" t="n"/>
      <c r="F161" s="14" t="n"/>
      <c r="G161" s="17" t="n"/>
      <c r="H161" s="14" t="n"/>
      <c r="I161" s="17">
        <f>IF(OR(A161="",D161="",H161="Feito"),"",D161-TODAY())</f>
        <v/>
      </c>
      <c r="J161" s="14">
        <f>IF(OR(A161="",D161=""),"",IF(H161="Feito","FEITO",IF(I161&lt;0,"VENCIDO",IF(I161&lt;=IF(G161="",7,G161),"VENCE EM BREVE","No prazo"))))</f>
        <v/>
      </c>
      <c r="K161" s="15">
        <f>IF(OR(D161="",F161="",F161="Única"),"",EDATE(D161,IF(F161="Mensal",1,IF(F161="Trimestral",3,IF(F161="Semestral",6,12)))))</f>
        <v/>
      </c>
      <c r="L161" s="14" t="n"/>
    </row>
    <row r="162">
      <c r="A162" s="14" t="n"/>
      <c r="B162" s="14" t="n"/>
      <c r="C162" s="14" t="n"/>
      <c r="D162" s="15" t="n"/>
      <c r="E162" s="16" t="n"/>
      <c r="F162" s="14" t="n"/>
      <c r="G162" s="17" t="n"/>
      <c r="H162" s="14" t="n"/>
      <c r="I162" s="17">
        <f>IF(OR(A162="",D162="",H162="Feito"),"",D162-TODAY())</f>
        <v/>
      </c>
      <c r="J162" s="14">
        <f>IF(OR(A162="",D162=""),"",IF(H162="Feito","FEITO",IF(I162&lt;0,"VENCIDO",IF(I162&lt;=IF(G162="",7,G162),"VENCE EM BREVE","No prazo"))))</f>
        <v/>
      </c>
      <c r="K162" s="15">
        <f>IF(OR(D162="",F162="",F162="Única"),"",EDATE(D162,IF(F162="Mensal",1,IF(F162="Trimestral",3,IF(F162="Semestral",6,12)))))</f>
        <v/>
      </c>
      <c r="L162" s="14" t="n"/>
    </row>
    <row r="163">
      <c r="A163" s="14" t="n"/>
      <c r="B163" s="14" t="n"/>
      <c r="C163" s="14" t="n"/>
      <c r="D163" s="15" t="n"/>
      <c r="E163" s="16" t="n"/>
      <c r="F163" s="14" t="n"/>
      <c r="G163" s="17" t="n"/>
      <c r="H163" s="14" t="n"/>
      <c r="I163" s="17">
        <f>IF(OR(A163="",D163="",H163="Feito"),"",D163-TODAY())</f>
        <v/>
      </c>
      <c r="J163" s="14">
        <f>IF(OR(A163="",D163=""),"",IF(H163="Feito","FEITO",IF(I163&lt;0,"VENCIDO",IF(I163&lt;=IF(G163="",7,G163),"VENCE EM BREVE","No prazo"))))</f>
        <v/>
      </c>
      <c r="K163" s="15">
        <f>IF(OR(D163="",F163="",F163="Única"),"",EDATE(D163,IF(F163="Mensal",1,IF(F163="Trimestral",3,IF(F163="Semestral",6,12)))))</f>
        <v/>
      </c>
      <c r="L163" s="14" t="n"/>
    </row>
    <row r="164">
      <c r="A164" s="14" t="n"/>
      <c r="B164" s="14" t="n"/>
      <c r="C164" s="14" t="n"/>
      <c r="D164" s="15" t="n"/>
      <c r="E164" s="16" t="n"/>
      <c r="F164" s="14" t="n"/>
      <c r="G164" s="17" t="n"/>
      <c r="H164" s="14" t="n"/>
      <c r="I164" s="17">
        <f>IF(OR(A164="",D164="",H164="Feito"),"",D164-TODAY())</f>
        <v/>
      </c>
      <c r="J164" s="14">
        <f>IF(OR(A164="",D164=""),"",IF(H164="Feito","FEITO",IF(I164&lt;0,"VENCIDO",IF(I164&lt;=IF(G164="",7,G164),"VENCE EM BREVE","No prazo"))))</f>
        <v/>
      </c>
      <c r="K164" s="15">
        <f>IF(OR(D164="",F164="",F164="Única"),"",EDATE(D164,IF(F164="Mensal",1,IF(F164="Trimestral",3,IF(F164="Semestral",6,12)))))</f>
        <v/>
      </c>
      <c r="L164" s="14" t="n"/>
    </row>
    <row r="165">
      <c r="A165" s="14" t="n"/>
      <c r="B165" s="14" t="n"/>
      <c r="C165" s="14" t="n"/>
      <c r="D165" s="15" t="n"/>
      <c r="E165" s="16" t="n"/>
      <c r="F165" s="14" t="n"/>
      <c r="G165" s="17" t="n"/>
      <c r="H165" s="14" t="n"/>
      <c r="I165" s="17">
        <f>IF(OR(A165="",D165="",H165="Feito"),"",D165-TODAY())</f>
        <v/>
      </c>
      <c r="J165" s="14">
        <f>IF(OR(A165="",D165=""),"",IF(H165="Feito","FEITO",IF(I165&lt;0,"VENCIDO",IF(I165&lt;=IF(G165="",7,G165),"VENCE EM BREVE","No prazo"))))</f>
        <v/>
      </c>
      <c r="K165" s="15">
        <f>IF(OR(D165="",F165="",F165="Única"),"",EDATE(D165,IF(F165="Mensal",1,IF(F165="Trimestral",3,IF(F165="Semestral",6,12)))))</f>
        <v/>
      </c>
      <c r="L165" s="14" t="n"/>
    </row>
    <row r="166">
      <c r="A166" s="14" t="n"/>
      <c r="B166" s="14" t="n"/>
      <c r="C166" s="14" t="n"/>
      <c r="D166" s="15" t="n"/>
      <c r="E166" s="16" t="n"/>
      <c r="F166" s="14" t="n"/>
      <c r="G166" s="17" t="n"/>
      <c r="H166" s="14" t="n"/>
      <c r="I166" s="17">
        <f>IF(OR(A166="",D166="",H166="Feito"),"",D166-TODAY())</f>
        <v/>
      </c>
      <c r="J166" s="14">
        <f>IF(OR(A166="",D166=""),"",IF(H166="Feito","FEITO",IF(I166&lt;0,"VENCIDO",IF(I166&lt;=IF(G166="",7,G166),"VENCE EM BREVE","No prazo"))))</f>
        <v/>
      </c>
      <c r="K166" s="15">
        <f>IF(OR(D166="",F166="",F166="Única"),"",EDATE(D166,IF(F166="Mensal",1,IF(F166="Trimestral",3,IF(F166="Semestral",6,12)))))</f>
        <v/>
      </c>
      <c r="L166" s="14" t="n"/>
    </row>
    <row r="167">
      <c r="A167" s="14" t="n"/>
      <c r="B167" s="14" t="n"/>
      <c r="C167" s="14" t="n"/>
      <c r="D167" s="15" t="n"/>
      <c r="E167" s="16" t="n"/>
      <c r="F167" s="14" t="n"/>
      <c r="G167" s="17" t="n"/>
      <c r="H167" s="14" t="n"/>
      <c r="I167" s="17">
        <f>IF(OR(A167="",D167="",H167="Feito"),"",D167-TODAY())</f>
        <v/>
      </c>
      <c r="J167" s="14">
        <f>IF(OR(A167="",D167=""),"",IF(H167="Feito","FEITO",IF(I167&lt;0,"VENCIDO",IF(I167&lt;=IF(G167="",7,G167),"VENCE EM BREVE","No prazo"))))</f>
        <v/>
      </c>
      <c r="K167" s="15">
        <f>IF(OR(D167="",F167="",F167="Única"),"",EDATE(D167,IF(F167="Mensal",1,IF(F167="Trimestral",3,IF(F167="Semestral",6,12)))))</f>
        <v/>
      </c>
      <c r="L167" s="14" t="n"/>
    </row>
    <row r="168">
      <c r="A168" s="14" t="n"/>
      <c r="B168" s="14" t="n"/>
      <c r="C168" s="14" t="n"/>
      <c r="D168" s="15" t="n"/>
      <c r="E168" s="16" t="n"/>
      <c r="F168" s="14" t="n"/>
      <c r="G168" s="17" t="n"/>
      <c r="H168" s="14" t="n"/>
      <c r="I168" s="17">
        <f>IF(OR(A168="",D168="",H168="Feito"),"",D168-TODAY())</f>
        <v/>
      </c>
      <c r="J168" s="14">
        <f>IF(OR(A168="",D168=""),"",IF(H168="Feito","FEITO",IF(I168&lt;0,"VENCIDO",IF(I168&lt;=IF(G168="",7,G168),"VENCE EM BREVE","No prazo"))))</f>
        <v/>
      </c>
      <c r="K168" s="15">
        <f>IF(OR(D168="",F168="",F168="Única"),"",EDATE(D168,IF(F168="Mensal",1,IF(F168="Trimestral",3,IF(F168="Semestral",6,12)))))</f>
        <v/>
      </c>
      <c r="L168" s="14" t="n"/>
    </row>
    <row r="169">
      <c r="A169" s="14" t="n"/>
      <c r="B169" s="14" t="n"/>
      <c r="C169" s="14" t="n"/>
      <c r="D169" s="15" t="n"/>
      <c r="E169" s="16" t="n"/>
      <c r="F169" s="14" t="n"/>
      <c r="G169" s="17" t="n"/>
      <c r="H169" s="14" t="n"/>
      <c r="I169" s="17">
        <f>IF(OR(A169="",D169="",H169="Feito"),"",D169-TODAY())</f>
        <v/>
      </c>
      <c r="J169" s="14">
        <f>IF(OR(A169="",D169=""),"",IF(H169="Feito","FEITO",IF(I169&lt;0,"VENCIDO",IF(I169&lt;=IF(G169="",7,G169),"VENCE EM BREVE","No prazo"))))</f>
        <v/>
      </c>
      <c r="K169" s="15">
        <f>IF(OR(D169="",F169="",F169="Única"),"",EDATE(D169,IF(F169="Mensal",1,IF(F169="Trimestral",3,IF(F169="Semestral",6,12)))))</f>
        <v/>
      </c>
      <c r="L169" s="14" t="n"/>
    </row>
    <row r="170">
      <c r="A170" s="14" t="n"/>
      <c r="B170" s="14" t="n"/>
      <c r="C170" s="14" t="n"/>
      <c r="D170" s="15" t="n"/>
      <c r="E170" s="16" t="n"/>
      <c r="F170" s="14" t="n"/>
      <c r="G170" s="17" t="n"/>
      <c r="H170" s="14" t="n"/>
      <c r="I170" s="17">
        <f>IF(OR(A170="",D170="",H170="Feito"),"",D170-TODAY())</f>
        <v/>
      </c>
      <c r="J170" s="14">
        <f>IF(OR(A170="",D170=""),"",IF(H170="Feito","FEITO",IF(I170&lt;0,"VENCIDO",IF(I170&lt;=IF(G170="",7,G170),"VENCE EM BREVE","No prazo"))))</f>
        <v/>
      </c>
      <c r="K170" s="15">
        <f>IF(OR(D170="",F170="",F170="Única"),"",EDATE(D170,IF(F170="Mensal",1,IF(F170="Trimestral",3,IF(F170="Semestral",6,12)))))</f>
        <v/>
      </c>
      <c r="L170" s="14" t="n"/>
    </row>
    <row r="171">
      <c r="A171" s="14" t="n"/>
      <c r="B171" s="14" t="n"/>
      <c r="C171" s="14" t="n"/>
      <c r="D171" s="15" t="n"/>
      <c r="E171" s="16" t="n"/>
      <c r="F171" s="14" t="n"/>
      <c r="G171" s="17" t="n"/>
      <c r="H171" s="14" t="n"/>
      <c r="I171" s="17">
        <f>IF(OR(A171="",D171="",H171="Feito"),"",D171-TODAY())</f>
        <v/>
      </c>
      <c r="J171" s="14">
        <f>IF(OR(A171="",D171=""),"",IF(H171="Feito","FEITO",IF(I171&lt;0,"VENCIDO",IF(I171&lt;=IF(G171="",7,G171),"VENCE EM BREVE","No prazo"))))</f>
        <v/>
      </c>
      <c r="K171" s="15">
        <f>IF(OR(D171="",F171="",F171="Única"),"",EDATE(D171,IF(F171="Mensal",1,IF(F171="Trimestral",3,IF(F171="Semestral",6,12)))))</f>
        <v/>
      </c>
      <c r="L171" s="14" t="n"/>
    </row>
    <row r="172">
      <c r="A172" s="14" t="n"/>
      <c r="B172" s="14" t="n"/>
      <c r="C172" s="14" t="n"/>
      <c r="D172" s="15" t="n"/>
      <c r="E172" s="16" t="n"/>
      <c r="F172" s="14" t="n"/>
      <c r="G172" s="17" t="n"/>
      <c r="H172" s="14" t="n"/>
      <c r="I172" s="17">
        <f>IF(OR(A172="",D172="",H172="Feito"),"",D172-TODAY())</f>
        <v/>
      </c>
      <c r="J172" s="14">
        <f>IF(OR(A172="",D172=""),"",IF(H172="Feito","FEITO",IF(I172&lt;0,"VENCIDO",IF(I172&lt;=IF(G172="",7,G172),"VENCE EM BREVE","No prazo"))))</f>
        <v/>
      </c>
      <c r="K172" s="15">
        <f>IF(OR(D172="",F172="",F172="Única"),"",EDATE(D172,IF(F172="Mensal",1,IF(F172="Trimestral",3,IF(F172="Semestral",6,12)))))</f>
        <v/>
      </c>
      <c r="L172" s="14" t="n"/>
    </row>
    <row r="173">
      <c r="A173" s="14" t="n"/>
      <c r="B173" s="14" t="n"/>
      <c r="C173" s="14" t="n"/>
      <c r="D173" s="15" t="n"/>
      <c r="E173" s="16" t="n"/>
      <c r="F173" s="14" t="n"/>
      <c r="G173" s="17" t="n"/>
      <c r="H173" s="14" t="n"/>
      <c r="I173" s="17">
        <f>IF(OR(A173="",D173="",H173="Feito"),"",D173-TODAY())</f>
        <v/>
      </c>
      <c r="J173" s="14">
        <f>IF(OR(A173="",D173=""),"",IF(H173="Feito","FEITO",IF(I173&lt;0,"VENCIDO",IF(I173&lt;=IF(G173="",7,G173),"VENCE EM BREVE","No prazo"))))</f>
        <v/>
      </c>
      <c r="K173" s="15">
        <f>IF(OR(D173="",F173="",F173="Única"),"",EDATE(D173,IF(F173="Mensal",1,IF(F173="Trimestral",3,IF(F173="Semestral",6,12)))))</f>
        <v/>
      </c>
      <c r="L173" s="14" t="n"/>
    </row>
    <row r="174">
      <c r="A174" s="14" t="n"/>
      <c r="B174" s="14" t="n"/>
      <c r="C174" s="14" t="n"/>
      <c r="D174" s="15" t="n"/>
      <c r="E174" s="16" t="n"/>
      <c r="F174" s="14" t="n"/>
      <c r="G174" s="17" t="n"/>
      <c r="H174" s="14" t="n"/>
      <c r="I174" s="17">
        <f>IF(OR(A174="",D174="",H174="Feito"),"",D174-TODAY())</f>
        <v/>
      </c>
      <c r="J174" s="14">
        <f>IF(OR(A174="",D174=""),"",IF(H174="Feito","FEITO",IF(I174&lt;0,"VENCIDO",IF(I174&lt;=IF(G174="",7,G174),"VENCE EM BREVE","No prazo"))))</f>
        <v/>
      </c>
      <c r="K174" s="15">
        <f>IF(OR(D174="",F174="",F174="Única"),"",EDATE(D174,IF(F174="Mensal",1,IF(F174="Trimestral",3,IF(F174="Semestral",6,12)))))</f>
        <v/>
      </c>
      <c r="L174" s="14" t="n"/>
    </row>
    <row r="175">
      <c r="A175" s="14" t="n"/>
      <c r="B175" s="14" t="n"/>
      <c r="C175" s="14" t="n"/>
      <c r="D175" s="15" t="n"/>
      <c r="E175" s="16" t="n"/>
      <c r="F175" s="14" t="n"/>
      <c r="G175" s="17" t="n"/>
      <c r="H175" s="14" t="n"/>
      <c r="I175" s="17">
        <f>IF(OR(A175="",D175="",H175="Feito"),"",D175-TODAY())</f>
        <v/>
      </c>
      <c r="J175" s="14">
        <f>IF(OR(A175="",D175=""),"",IF(H175="Feito","FEITO",IF(I175&lt;0,"VENCIDO",IF(I175&lt;=IF(G175="",7,G175),"VENCE EM BREVE","No prazo"))))</f>
        <v/>
      </c>
      <c r="K175" s="15">
        <f>IF(OR(D175="",F175="",F175="Única"),"",EDATE(D175,IF(F175="Mensal",1,IF(F175="Trimestral",3,IF(F175="Semestral",6,12)))))</f>
        <v/>
      </c>
      <c r="L175" s="14" t="n"/>
    </row>
    <row r="176">
      <c r="A176" s="14" t="n"/>
      <c r="B176" s="14" t="n"/>
      <c r="C176" s="14" t="n"/>
      <c r="D176" s="15" t="n"/>
      <c r="E176" s="16" t="n"/>
      <c r="F176" s="14" t="n"/>
      <c r="G176" s="17" t="n"/>
      <c r="H176" s="14" t="n"/>
      <c r="I176" s="17">
        <f>IF(OR(A176="",D176="",H176="Feito"),"",D176-TODAY())</f>
        <v/>
      </c>
      <c r="J176" s="14">
        <f>IF(OR(A176="",D176=""),"",IF(H176="Feito","FEITO",IF(I176&lt;0,"VENCIDO",IF(I176&lt;=IF(G176="",7,G176),"VENCE EM BREVE","No prazo"))))</f>
        <v/>
      </c>
      <c r="K176" s="15">
        <f>IF(OR(D176="",F176="",F176="Única"),"",EDATE(D176,IF(F176="Mensal",1,IF(F176="Trimestral",3,IF(F176="Semestral",6,12)))))</f>
        <v/>
      </c>
      <c r="L176" s="14" t="n"/>
    </row>
    <row r="177">
      <c r="A177" s="14" t="n"/>
      <c r="B177" s="14" t="n"/>
      <c r="C177" s="14" t="n"/>
      <c r="D177" s="15" t="n"/>
      <c r="E177" s="16" t="n"/>
      <c r="F177" s="14" t="n"/>
      <c r="G177" s="17" t="n"/>
      <c r="H177" s="14" t="n"/>
      <c r="I177" s="17">
        <f>IF(OR(A177="",D177="",H177="Feito"),"",D177-TODAY())</f>
        <v/>
      </c>
      <c r="J177" s="14">
        <f>IF(OR(A177="",D177=""),"",IF(H177="Feito","FEITO",IF(I177&lt;0,"VENCIDO",IF(I177&lt;=IF(G177="",7,G177),"VENCE EM BREVE","No prazo"))))</f>
        <v/>
      </c>
      <c r="K177" s="15">
        <f>IF(OR(D177="",F177="",F177="Única"),"",EDATE(D177,IF(F177="Mensal",1,IF(F177="Trimestral",3,IF(F177="Semestral",6,12)))))</f>
        <v/>
      </c>
      <c r="L177" s="14" t="n"/>
    </row>
    <row r="178">
      <c r="A178" s="14" t="n"/>
      <c r="B178" s="14" t="n"/>
      <c r="C178" s="14" t="n"/>
      <c r="D178" s="15" t="n"/>
      <c r="E178" s="16" t="n"/>
      <c r="F178" s="14" t="n"/>
      <c r="G178" s="17" t="n"/>
      <c r="H178" s="14" t="n"/>
      <c r="I178" s="17">
        <f>IF(OR(A178="",D178="",H178="Feito"),"",D178-TODAY())</f>
        <v/>
      </c>
      <c r="J178" s="14">
        <f>IF(OR(A178="",D178=""),"",IF(H178="Feito","FEITO",IF(I178&lt;0,"VENCIDO",IF(I178&lt;=IF(G178="",7,G178),"VENCE EM BREVE","No prazo"))))</f>
        <v/>
      </c>
      <c r="K178" s="15">
        <f>IF(OR(D178="",F178="",F178="Única"),"",EDATE(D178,IF(F178="Mensal",1,IF(F178="Trimestral",3,IF(F178="Semestral",6,12)))))</f>
        <v/>
      </c>
      <c r="L178" s="14" t="n"/>
    </row>
    <row r="179">
      <c r="A179" s="14" t="n"/>
      <c r="B179" s="14" t="n"/>
      <c r="C179" s="14" t="n"/>
      <c r="D179" s="15" t="n"/>
      <c r="E179" s="16" t="n"/>
      <c r="F179" s="14" t="n"/>
      <c r="G179" s="17" t="n"/>
      <c r="H179" s="14" t="n"/>
      <c r="I179" s="17">
        <f>IF(OR(A179="",D179="",H179="Feito"),"",D179-TODAY())</f>
        <v/>
      </c>
      <c r="J179" s="14">
        <f>IF(OR(A179="",D179=""),"",IF(H179="Feito","FEITO",IF(I179&lt;0,"VENCIDO",IF(I179&lt;=IF(G179="",7,G179),"VENCE EM BREVE","No prazo"))))</f>
        <v/>
      </c>
      <c r="K179" s="15">
        <f>IF(OR(D179="",F179="",F179="Única"),"",EDATE(D179,IF(F179="Mensal",1,IF(F179="Trimestral",3,IF(F179="Semestral",6,12)))))</f>
        <v/>
      </c>
      <c r="L179" s="14" t="n"/>
    </row>
    <row r="180">
      <c r="A180" s="14" t="n"/>
      <c r="B180" s="14" t="n"/>
      <c r="C180" s="14" t="n"/>
      <c r="D180" s="15" t="n"/>
      <c r="E180" s="16" t="n"/>
      <c r="F180" s="14" t="n"/>
      <c r="G180" s="17" t="n"/>
      <c r="H180" s="14" t="n"/>
      <c r="I180" s="17">
        <f>IF(OR(A180="",D180="",H180="Feito"),"",D180-TODAY())</f>
        <v/>
      </c>
      <c r="J180" s="14">
        <f>IF(OR(A180="",D180=""),"",IF(H180="Feito","FEITO",IF(I180&lt;0,"VENCIDO",IF(I180&lt;=IF(G180="",7,G180),"VENCE EM BREVE","No prazo"))))</f>
        <v/>
      </c>
      <c r="K180" s="15">
        <f>IF(OR(D180="",F180="",F180="Única"),"",EDATE(D180,IF(F180="Mensal",1,IF(F180="Trimestral",3,IF(F180="Semestral",6,12)))))</f>
        <v/>
      </c>
      <c r="L180" s="14" t="n"/>
    </row>
    <row r="181">
      <c r="A181" s="14" t="n"/>
      <c r="B181" s="14" t="n"/>
      <c r="C181" s="14" t="n"/>
      <c r="D181" s="15" t="n"/>
      <c r="E181" s="16" t="n"/>
      <c r="F181" s="14" t="n"/>
      <c r="G181" s="17" t="n"/>
      <c r="H181" s="14" t="n"/>
      <c r="I181" s="17">
        <f>IF(OR(A181="",D181="",H181="Feito"),"",D181-TODAY())</f>
        <v/>
      </c>
      <c r="J181" s="14">
        <f>IF(OR(A181="",D181=""),"",IF(H181="Feito","FEITO",IF(I181&lt;0,"VENCIDO",IF(I181&lt;=IF(G181="",7,G181),"VENCE EM BREVE","No prazo"))))</f>
        <v/>
      </c>
      <c r="K181" s="15">
        <f>IF(OR(D181="",F181="",F181="Única"),"",EDATE(D181,IF(F181="Mensal",1,IF(F181="Trimestral",3,IF(F181="Semestral",6,12)))))</f>
        <v/>
      </c>
      <c r="L181" s="14" t="n"/>
    </row>
    <row r="182">
      <c r="A182" s="14" t="n"/>
      <c r="B182" s="14" t="n"/>
      <c r="C182" s="14" t="n"/>
      <c r="D182" s="15" t="n"/>
      <c r="E182" s="16" t="n"/>
      <c r="F182" s="14" t="n"/>
      <c r="G182" s="17" t="n"/>
      <c r="H182" s="14" t="n"/>
      <c r="I182" s="17">
        <f>IF(OR(A182="",D182="",H182="Feito"),"",D182-TODAY())</f>
        <v/>
      </c>
      <c r="J182" s="14">
        <f>IF(OR(A182="",D182=""),"",IF(H182="Feito","FEITO",IF(I182&lt;0,"VENCIDO",IF(I182&lt;=IF(G182="",7,G182),"VENCE EM BREVE","No prazo"))))</f>
        <v/>
      </c>
      <c r="K182" s="15">
        <f>IF(OR(D182="",F182="",F182="Única"),"",EDATE(D182,IF(F182="Mensal",1,IF(F182="Trimestral",3,IF(F182="Semestral",6,12)))))</f>
        <v/>
      </c>
      <c r="L182" s="14" t="n"/>
    </row>
    <row r="183">
      <c r="A183" s="14" t="n"/>
      <c r="B183" s="14" t="n"/>
      <c r="C183" s="14" t="n"/>
      <c r="D183" s="15" t="n"/>
      <c r="E183" s="16" t="n"/>
      <c r="F183" s="14" t="n"/>
      <c r="G183" s="17" t="n"/>
      <c r="H183" s="14" t="n"/>
      <c r="I183" s="17">
        <f>IF(OR(A183="",D183="",H183="Feito"),"",D183-TODAY())</f>
        <v/>
      </c>
      <c r="J183" s="14">
        <f>IF(OR(A183="",D183=""),"",IF(H183="Feito","FEITO",IF(I183&lt;0,"VENCIDO",IF(I183&lt;=IF(G183="",7,G183),"VENCE EM BREVE","No prazo"))))</f>
        <v/>
      </c>
      <c r="K183" s="15">
        <f>IF(OR(D183="",F183="",F183="Única"),"",EDATE(D183,IF(F183="Mensal",1,IF(F183="Trimestral",3,IF(F183="Semestral",6,12)))))</f>
        <v/>
      </c>
      <c r="L183" s="14" t="n"/>
    </row>
    <row r="184">
      <c r="A184" s="14" t="n"/>
      <c r="B184" s="14" t="n"/>
      <c r="C184" s="14" t="n"/>
      <c r="D184" s="15" t="n"/>
      <c r="E184" s="16" t="n"/>
      <c r="F184" s="14" t="n"/>
      <c r="G184" s="17" t="n"/>
      <c r="H184" s="14" t="n"/>
      <c r="I184" s="17">
        <f>IF(OR(A184="",D184="",H184="Feito"),"",D184-TODAY())</f>
        <v/>
      </c>
      <c r="J184" s="14">
        <f>IF(OR(A184="",D184=""),"",IF(H184="Feito","FEITO",IF(I184&lt;0,"VENCIDO",IF(I184&lt;=IF(G184="",7,G184),"VENCE EM BREVE","No prazo"))))</f>
        <v/>
      </c>
      <c r="K184" s="15">
        <f>IF(OR(D184="",F184="",F184="Única"),"",EDATE(D184,IF(F184="Mensal",1,IF(F184="Trimestral",3,IF(F184="Semestral",6,12)))))</f>
        <v/>
      </c>
      <c r="L184" s="14" t="n"/>
    </row>
    <row r="185">
      <c r="A185" s="14" t="n"/>
      <c r="B185" s="14" t="n"/>
      <c r="C185" s="14" t="n"/>
      <c r="D185" s="15" t="n"/>
      <c r="E185" s="16" t="n"/>
      <c r="F185" s="14" t="n"/>
      <c r="G185" s="17" t="n"/>
      <c r="H185" s="14" t="n"/>
      <c r="I185" s="17">
        <f>IF(OR(A185="",D185="",H185="Feito"),"",D185-TODAY())</f>
        <v/>
      </c>
      <c r="J185" s="14">
        <f>IF(OR(A185="",D185=""),"",IF(H185="Feito","FEITO",IF(I185&lt;0,"VENCIDO",IF(I185&lt;=IF(G185="",7,G185),"VENCE EM BREVE","No prazo"))))</f>
        <v/>
      </c>
      <c r="K185" s="15">
        <f>IF(OR(D185="",F185="",F185="Única"),"",EDATE(D185,IF(F185="Mensal",1,IF(F185="Trimestral",3,IF(F185="Semestral",6,12)))))</f>
        <v/>
      </c>
      <c r="L185" s="14" t="n"/>
    </row>
    <row r="186">
      <c r="A186" s="14" t="n"/>
      <c r="B186" s="14" t="n"/>
      <c r="C186" s="14" t="n"/>
      <c r="D186" s="15" t="n"/>
      <c r="E186" s="16" t="n"/>
      <c r="F186" s="14" t="n"/>
      <c r="G186" s="17" t="n"/>
      <c r="H186" s="14" t="n"/>
      <c r="I186" s="17">
        <f>IF(OR(A186="",D186="",H186="Feito"),"",D186-TODAY())</f>
        <v/>
      </c>
      <c r="J186" s="14">
        <f>IF(OR(A186="",D186=""),"",IF(H186="Feito","FEITO",IF(I186&lt;0,"VENCIDO",IF(I186&lt;=IF(G186="",7,G186),"VENCE EM BREVE","No prazo"))))</f>
        <v/>
      </c>
      <c r="K186" s="15">
        <f>IF(OR(D186="",F186="",F186="Única"),"",EDATE(D186,IF(F186="Mensal",1,IF(F186="Trimestral",3,IF(F186="Semestral",6,12)))))</f>
        <v/>
      </c>
      <c r="L186" s="14" t="n"/>
    </row>
    <row r="187">
      <c r="A187" s="14" t="n"/>
      <c r="B187" s="14" t="n"/>
      <c r="C187" s="14" t="n"/>
      <c r="D187" s="15" t="n"/>
      <c r="E187" s="16" t="n"/>
      <c r="F187" s="14" t="n"/>
      <c r="G187" s="17" t="n"/>
      <c r="H187" s="14" t="n"/>
      <c r="I187" s="17">
        <f>IF(OR(A187="",D187="",H187="Feito"),"",D187-TODAY())</f>
        <v/>
      </c>
      <c r="J187" s="14">
        <f>IF(OR(A187="",D187=""),"",IF(H187="Feito","FEITO",IF(I187&lt;0,"VENCIDO",IF(I187&lt;=IF(G187="",7,G187),"VENCE EM BREVE","No prazo"))))</f>
        <v/>
      </c>
      <c r="K187" s="15">
        <f>IF(OR(D187="",F187="",F187="Única"),"",EDATE(D187,IF(F187="Mensal",1,IF(F187="Trimestral",3,IF(F187="Semestral",6,12)))))</f>
        <v/>
      </c>
      <c r="L187" s="14" t="n"/>
    </row>
    <row r="188">
      <c r="A188" s="14" t="n"/>
      <c r="B188" s="14" t="n"/>
      <c r="C188" s="14" t="n"/>
      <c r="D188" s="15" t="n"/>
      <c r="E188" s="16" t="n"/>
      <c r="F188" s="14" t="n"/>
      <c r="G188" s="17" t="n"/>
      <c r="H188" s="14" t="n"/>
      <c r="I188" s="17">
        <f>IF(OR(A188="",D188="",H188="Feito"),"",D188-TODAY())</f>
        <v/>
      </c>
      <c r="J188" s="14">
        <f>IF(OR(A188="",D188=""),"",IF(H188="Feito","FEITO",IF(I188&lt;0,"VENCIDO",IF(I188&lt;=IF(G188="",7,G188),"VENCE EM BREVE","No prazo"))))</f>
        <v/>
      </c>
      <c r="K188" s="15">
        <f>IF(OR(D188="",F188="",F188="Única"),"",EDATE(D188,IF(F188="Mensal",1,IF(F188="Trimestral",3,IF(F188="Semestral",6,12)))))</f>
        <v/>
      </c>
      <c r="L188" s="14" t="n"/>
    </row>
    <row r="189">
      <c r="A189" s="14" t="n"/>
      <c r="B189" s="14" t="n"/>
      <c r="C189" s="14" t="n"/>
      <c r="D189" s="15" t="n"/>
      <c r="E189" s="16" t="n"/>
      <c r="F189" s="14" t="n"/>
      <c r="G189" s="17" t="n"/>
      <c r="H189" s="14" t="n"/>
      <c r="I189" s="17">
        <f>IF(OR(A189="",D189="",H189="Feito"),"",D189-TODAY())</f>
        <v/>
      </c>
      <c r="J189" s="14">
        <f>IF(OR(A189="",D189=""),"",IF(H189="Feito","FEITO",IF(I189&lt;0,"VENCIDO",IF(I189&lt;=IF(G189="",7,G189),"VENCE EM BREVE","No prazo"))))</f>
        <v/>
      </c>
      <c r="K189" s="15">
        <f>IF(OR(D189="",F189="",F189="Única"),"",EDATE(D189,IF(F189="Mensal",1,IF(F189="Trimestral",3,IF(F189="Semestral",6,12)))))</f>
        <v/>
      </c>
      <c r="L189" s="14" t="n"/>
    </row>
    <row r="190">
      <c r="A190" s="14" t="n"/>
      <c r="B190" s="14" t="n"/>
      <c r="C190" s="14" t="n"/>
      <c r="D190" s="15" t="n"/>
      <c r="E190" s="16" t="n"/>
      <c r="F190" s="14" t="n"/>
      <c r="G190" s="17" t="n"/>
      <c r="H190" s="14" t="n"/>
      <c r="I190" s="17">
        <f>IF(OR(A190="",D190="",H190="Feito"),"",D190-TODAY())</f>
        <v/>
      </c>
      <c r="J190" s="14">
        <f>IF(OR(A190="",D190=""),"",IF(H190="Feito","FEITO",IF(I190&lt;0,"VENCIDO",IF(I190&lt;=IF(G190="",7,G190),"VENCE EM BREVE","No prazo"))))</f>
        <v/>
      </c>
      <c r="K190" s="15">
        <f>IF(OR(D190="",F190="",F190="Única"),"",EDATE(D190,IF(F190="Mensal",1,IF(F190="Trimestral",3,IF(F190="Semestral",6,12)))))</f>
        <v/>
      </c>
      <c r="L190" s="14" t="n"/>
    </row>
    <row r="191">
      <c r="A191" s="14" t="n"/>
      <c r="B191" s="14" t="n"/>
      <c r="C191" s="14" t="n"/>
      <c r="D191" s="15" t="n"/>
      <c r="E191" s="16" t="n"/>
      <c r="F191" s="14" t="n"/>
      <c r="G191" s="17" t="n"/>
      <c r="H191" s="14" t="n"/>
      <c r="I191" s="17">
        <f>IF(OR(A191="",D191="",H191="Feito"),"",D191-TODAY())</f>
        <v/>
      </c>
      <c r="J191" s="14">
        <f>IF(OR(A191="",D191=""),"",IF(H191="Feito","FEITO",IF(I191&lt;0,"VENCIDO",IF(I191&lt;=IF(G191="",7,G191),"VENCE EM BREVE","No prazo"))))</f>
        <v/>
      </c>
      <c r="K191" s="15">
        <f>IF(OR(D191="",F191="",F191="Única"),"",EDATE(D191,IF(F191="Mensal",1,IF(F191="Trimestral",3,IF(F191="Semestral",6,12)))))</f>
        <v/>
      </c>
      <c r="L191" s="14" t="n"/>
    </row>
    <row r="192">
      <c r="A192" s="14" t="n"/>
      <c r="B192" s="14" t="n"/>
      <c r="C192" s="14" t="n"/>
      <c r="D192" s="15" t="n"/>
      <c r="E192" s="16" t="n"/>
      <c r="F192" s="14" t="n"/>
      <c r="G192" s="17" t="n"/>
      <c r="H192" s="14" t="n"/>
      <c r="I192" s="17">
        <f>IF(OR(A192="",D192="",H192="Feito"),"",D192-TODAY())</f>
        <v/>
      </c>
      <c r="J192" s="14">
        <f>IF(OR(A192="",D192=""),"",IF(H192="Feito","FEITO",IF(I192&lt;0,"VENCIDO",IF(I192&lt;=IF(G192="",7,G192),"VENCE EM BREVE","No prazo"))))</f>
        <v/>
      </c>
      <c r="K192" s="15">
        <f>IF(OR(D192="",F192="",F192="Única"),"",EDATE(D192,IF(F192="Mensal",1,IF(F192="Trimestral",3,IF(F192="Semestral",6,12)))))</f>
        <v/>
      </c>
      <c r="L192" s="14" t="n"/>
    </row>
    <row r="193">
      <c r="A193" s="14" t="n"/>
      <c r="B193" s="14" t="n"/>
      <c r="C193" s="14" t="n"/>
      <c r="D193" s="15" t="n"/>
      <c r="E193" s="16" t="n"/>
      <c r="F193" s="14" t="n"/>
      <c r="G193" s="17" t="n"/>
      <c r="H193" s="14" t="n"/>
      <c r="I193" s="17">
        <f>IF(OR(A193="",D193="",H193="Feito"),"",D193-TODAY())</f>
        <v/>
      </c>
      <c r="J193" s="14">
        <f>IF(OR(A193="",D193=""),"",IF(H193="Feito","FEITO",IF(I193&lt;0,"VENCIDO",IF(I193&lt;=IF(G193="",7,G193),"VENCE EM BREVE","No prazo"))))</f>
        <v/>
      </c>
      <c r="K193" s="15">
        <f>IF(OR(D193="",F193="",F193="Única"),"",EDATE(D193,IF(F193="Mensal",1,IF(F193="Trimestral",3,IF(F193="Semestral",6,12)))))</f>
        <v/>
      </c>
      <c r="L193" s="14" t="n"/>
    </row>
    <row r="194">
      <c r="A194" s="14" t="n"/>
      <c r="B194" s="14" t="n"/>
      <c r="C194" s="14" t="n"/>
      <c r="D194" s="15" t="n"/>
      <c r="E194" s="16" t="n"/>
      <c r="F194" s="14" t="n"/>
      <c r="G194" s="17" t="n"/>
      <c r="H194" s="14" t="n"/>
      <c r="I194" s="17">
        <f>IF(OR(A194="",D194="",H194="Feito"),"",D194-TODAY())</f>
        <v/>
      </c>
      <c r="J194" s="14">
        <f>IF(OR(A194="",D194=""),"",IF(H194="Feito","FEITO",IF(I194&lt;0,"VENCIDO",IF(I194&lt;=IF(G194="",7,G194),"VENCE EM BREVE","No prazo"))))</f>
        <v/>
      </c>
      <c r="K194" s="15">
        <f>IF(OR(D194="",F194="",F194="Única"),"",EDATE(D194,IF(F194="Mensal",1,IF(F194="Trimestral",3,IF(F194="Semestral",6,12)))))</f>
        <v/>
      </c>
      <c r="L194" s="14" t="n"/>
    </row>
    <row r="195">
      <c r="A195" s="14" t="n"/>
      <c r="B195" s="14" t="n"/>
      <c r="C195" s="14" t="n"/>
      <c r="D195" s="15" t="n"/>
      <c r="E195" s="16" t="n"/>
      <c r="F195" s="14" t="n"/>
      <c r="G195" s="17" t="n"/>
      <c r="H195" s="14" t="n"/>
      <c r="I195" s="17">
        <f>IF(OR(A195="",D195="",H195="Feito"),"",D195-TODAY())</f>
        <v/>
      </c>
      <c r="J195" s="14">
        <f>IF(OR(A195="",D195=""),"",IF(H195="Feito","FEITO",IF(I195&lt;0,"VENCIDO",IF(I195&lt;=IF(G195="",7,G195),"VENCE EM BREVE","No prazo"))))</f>
        <v/>
      </c>
      <c r="K195" s="15">
        <f>IF(OR(D195="",F195="",F195="Única"),"",EDATE(D195,IF(F195="Mensal",1,IF(F195="Trimestral",3,IF(F195="Semestral",6,12)))))</f>
        <v/>
      </c>
      <c r="L195" s="14" t="n"/>
    </row>
    <row r="196">
      <c r="A196" s="14" t="n"/>
      <c r="B196" s="14" t="n"/>
      <c r="C196" s="14" t="n"/>
      <c r="D196" s="15" t="n"/>
      <c r="E196" s="16" t="n"/>
      <c r="F196" s="14" t="n"/>
      <c r="G196" s="17" t="n"/>
      <c r="H196" s="14" t="n"/>
      <c r="I196" s="17">
        <f>IF(OR(A196="",D196="",H196="Feito"),"",D196-TODAY())</f>
        <v/>
      </c>
      <c r="J196" s="14">
        <f>IF(OR(A196="",D196=""),"",IF(H196="Feito","FEITO",IF(I196&lt;0,"VENCIDO",IF(I196&lt;=IF(G196="",7,G196),"VENCE EM BREVE","No prazo"))))</f>
        <v/>
      </c>
      <c r="K196" s="15">
        <f>IF(OR(D196="",F196="",F196="Única"),"",EDATE(D196,IF(F196="Mensal",1,IF(F196="Trimestral",3,IF(F196="Semestral",6,12)))))</f>
        <v/>
      </c>
      <c r="L196" s="14" t="n"/>
    </row>
    <row r="197">
      <c r="A197" s="14" t="n"/>
      <c r="B197" s="14" t="n"/>
      <c r="C197" s="14" t="n"/>
      <c r="D197" s="15" t="n"/>
      <c r="E197" s="16" t="n"/>
      <c r="F197" s="14" t="n"/>
      <c r="G197" s="17" t="n"/>
      <c r="H197" s="14" t="n"/>
      <c r="I197" s="17">
        <f>IF(OR(A197="",D197="",H197="Feito"),"",D197-TODAY())</f>
        <v/>
      </c>
      <c r="J197" s="14">
        <f>IF(OR(A197="",D197=""),"",IF(H197="Feito","FEITO",IF(I197&lt;0,"VENCIDO",IF(I197&lt;=IF(G197="",7,G197),"VENCE EM BREVE","No prazo"))))</f>
        <v/>
      </c>
      <c r="K197" s="15">
        <f>IF(OR(D197="",F197="",F197="Única"),"",EDATE(D197,IF(F197="Mensal",1,IF(F197="Trimestral",3,IF(F197="Semestral",6,12)))))</f>
        <v/>
      </c>
      <c r="L197" s="14" t="n"/>
    </row>
    <row r="198">
      <c r="A198" s="14" t="n"/>
      <c r="B198" s="14" t="n"/>
      <c r="C198" s="14" t="n"/>
      <c r="D198" s="15" t="n"/>
      <c r="E198" s="16" t="n"/>
      <c r="F198" s="14" t="n"/>
      <c r="G198" s="17" t="n"/>
      <c r="H198" s="14" t="n"/>
      <c r="I198" s="17">
        <f>IF(OR(A198="",D198="",H198="Feito"),"",D198-TODAY())</f>
        <v/>
      </c>
      <c r="J198" s="14">
        <f>IF(OR(A198="",D198=""),"",IF(H198="Feito","FEITO",IF(I198&lt;0,"VENCIDO",IF(I198&lt;=IF(G198="",7,G198),"VENCE EM BREVE","No prazo"))))</f>
        <v/>
      </c>
      <c r="K198" s="15">
        <f>IF(OR(D198="",F198="",F198="Única"),"",EDATE(D198,IF(F198="Mensal",1,IF(F198="Trimestral",3,IF(F198="Semestral",6,12)))))</f>
        <v/>
      </c>
      <c r="L198" s="14" t="n"/>
    </row>
    <row r="199">
      <c r="A199" s="14" t="n"/>
      <c r="B199" s="14" t="n"/>
      <c r="C199" s="14" t="n"/>
      <c r="D199" s="15" t="n"/>
      <c r="E199" s="16" t="n"/>
      <c r="F199" s="14" t="n"/>
      <c r="G199" s="17" t="n"/>
      <c r="H199" s="14" t="n"/>
      <c r="I199" s="17">
        <f>IF(OR(A199="",D199="",H199="Feito"),"",D199-TODAY())</f>
        <v/>
      </c>
      <c r="J199" s="14">
        <f>IF(OR(A199="",D199=""),"",IF(H199="Feito","FEITO",IF(I199&lt;0,"VENCIDO",IF(I199&lt;=IF(G199="",7,G199),"VENCE EM BREVE","No prazo"))))</f>
        <v/>
      </c>
      <c r="K199" s="15">
        <f>IF(OR(D199="",F199="",F199="Única"),"",EDATE(D199,IF(F199="Mensal",1,IF(F199="Trimestral",3,IF(F199="Semestral",6,12)))))</f>
        <v/>
      </c>
      <c r="L199" s="14" t="n"/>
    </row>
    <row r="200">
      <c r="A200" s="14" t="n"/>
      <c r="B200" s="14" t="n"/>
      <c r="C200" s="14" t="n"/>
      <c r="D200" s="15" t="n"/>
      <c r="E200" s="16" t="n"/>
      <c r="F200" s="14" t="n"/>
      <c r="G200" s="17" t="n"/>
      <c r="H200" s="14" t="n"/>
      <c r="I200" s="17">
        <f>IF(OR(A200="",D200="",H200="Feito"),"",D200-TODAY())</f>
        <v/>
      </c>
      <c r="J200" s="14">
        <f>IF(OR(A200="",D200=""),"",IF(H200="Feito","FEITO",IF(I200&lt;0,"VENCIDO",IF(I200&lt;=IF(G200="",7,G200),"VENCE EM BREVE","No prazo"))))</f>
        <v/>
      </c>
      <c r="K200" s="15">
        <f>IF(OR(D200="",F200="",F200="Única"),"",EDATE(D200,IF(F200="Mensal",1,IF(F200="Trimestral",3,IF(F200="Semestral",6,12)))))</f>
        <v/>
      </c>
      <c r="L200" s="14" t="n"/>
    </row>
    <row r="201">
      <c r="A201" s="14" t="n"/>
      <c r="B201" s="14" t="n"/>
      <c r="C201" s="14" t="n"/>
      <c r="D201" s="15" t="n"/>
      <c r="E201" s="16" t="n"/>
      <c r="F201" s="14" t="n"/>
      <c r="G201" s="17" t="n"/>
      <c r="H201" s="14" t="n"/>
      <c r="I201" s="17">
        <f>IF(OR(A201="",D201="",H201="Feito"),"",D201-TODAY())</f>
        <v/>
      </c>
      <c r="J201" s="14">
        <f>IF(OR(A201="",D201=""),"",IF(H201="Feito","FEITO",IF(I201&lt;0,"VENCIDO",IF(I201&lt;=IF(G201="",7,G201),"VENCE EM BREVE","No prazo"))))</f>
        <v/>
      </c>
      <c r="K201" s="15">
        <f>IF(OR(D201="",F201="",F201="Única"),"",EDATE(D201,IF(F201="Mensal",1,IF(F201="Trimestral",3,IF(F201="Semestral",6,12)))))</f>
        <v/>
      </c>
      <c r="L201" s="14" t="n"/>
    </row>
    <row r="202">
      <c r="A202" s="14" t="n"/>
      <c r="B202" s="14" t="n"/>
      <c r="C202" s="14" t="n"/>
      <c r="D202" s="15" t="n"/>
      <c r="E202" s="16" t="n"/>
      <c r="F202" s="14" t="n"/>
      <c r="G202" s="17" t="n"/>
      <c r="H202" s="14" t="n"/>
      <c r="I202" s="17">
        <f>IF(OR(A202="",D202="",H202="Feito"),"",D202-TODAY())</f>
        <v/>
      </c>
      <c r="J202" s="14">
        <f>IF(OR(A202="",D202=""),"",IF(H202="Feito","FEITO",IF(I202&lt;0,"VENCIDO",IF(I202&lt;=IF(G202="",7,G202),"VENCE EM BREVE","No prazo"))))</f>
        <v/>
      </c>
      <c r="K202" s="15">
        <f>IF(OR(D202="",F202="",F202="Única"),"",EDATE(D202,IF(F202="Mensal",1,IF(F202="Trimestral",3,IF(F202="Semestral",6,12)))))</f>
        <v/>
      </c>
      <c r="L202" s="14" t="n"/>
    </row>
    <row r="203">
      <c r="A203" s="14" t="n"/>
      <c r="B203" s="14" t="n"/>
      <c r="C203" s="14" t="n"/>
      <c r="D203" s="15" t="n"/>
      <c r="E203" s="16" t="n"/>
      <c r="F203" s="14" t="n"/>
      <c r="G203" s="17" t="n"/>
      <c r="H203" s="14" t="n"/>
      <c r="I203" s="17">
        <f>IF(OR(A203="",D203="",H203="Feito"),"",D203-TODAY())</f>
        <v/>
      </c>
      <c r="J203" s="14">
        <f>IF(OR(A203="",D203=""),"",IF(H203="Feito","FEITO",IF(I203&lt;0,"VENCIDO",IF(I203&lt;=IF(G203="",7,G203),"VENCE EM BREVE","No prazo"))))</f>
        <v/>
      </c>
      <c r="K203" s="15">
        <f>IF(OR(D203="",F203="",F203="Única"),"",EDATE(D203,IF(F203="Mensal",1,IF(F203="Trimestral",3,IF(F203="Semestral",6,12)))))</f>
        <v/>
      </c>
      <c r="L203" s="14" t="n"/>
    </row>
    <row r="204">
      <c r="A204" s="14" t="n"/>
      <c r="B204" s="14" t="n"/>
      <c r="C204" s="14" t="n"/>
      <c r="D204" s="15" t="n"/>
      <c r="E204" s="16" t="n"/>
      <c r="F204" s="14" t="n"/>
      <c r="G204" s="17" t="n"/>
      <c r="H204" s="14" t="n"/>
      <c r="I204" s="17">
        <f>IF(OR(A204="",D204="",H204="Feito"),"",D204-TODAY())</f>
        <v/>
      </c>
      <c r="J204" s="14">
        <f>IF(OR(A204="",D204=""),"",IF(H204="Feito","FEITO",IF(I204&lt;0,"VENCIDO",IF(I204&lt;=IF(G204="",7,G204),"VENCE EM BREVE","No prazo"))))</f>
        <v/>
      </c>
      <c r="K204" s="15">
        <f>IF(OR(D204="",F204="",F204="Única"),"",EDATE(D204,IF(F204="Mensal",1,IF(F204="Trimestral",3,IF(F204="Semestral",6,12)))))</f>
        <v/>
      </c>
      <c r="L204" s="14" t="n"/>
    </row>
    <row r="205">
      <c r="A205" s="14" t="n"/>
      <c r="B205" s="14" t="n"/>
      <c r="C205" s="14" t="n"/>
      <c r="D205" s="15" t="n"/>
      <c r="E205" s="16" t="n"/>
      <c r="F205" s="14" t="n"/>
      <c r="G205" s="17" t="n"/>
      <c r="H205" s="14" t="n"/>
      <c r="I205" s="17">
        <f>IF(OR(A205="",D205="",H205="Feito"),"",D205-TODAY())</f>
        <v/>
      </c>
      <c r="J205" s="14">
        <f>IF(OR(A205="",D205=""),"",IF(H205="Feito","FEITO",IF(I205&lt;0,"VENCIDO",IF(I205&lt;=IF(G205="",7,G205),"VENCE EM BREVE","No prazo"))))</f>
        <v/>
      </c>
      <c r="K205" s="15">
        <f>IF(OR(D205="",F205="",F205="Única"),"",EDATE(D205,IF(F205="Mensal",1,IF(F205="Trimestral",3,IF(F205="Semestral",6,12)))))</f>
        <v/>
      </c>
      <c r="L205" s="14" t="n"/>
    </row>
    <row r="206">
      <c r="A206" s="14" t="n"/>
      <c r="B206" s="14" t="n"/>
      <c r="C206" s="14" t="n"/>
      <c r="D206" s="15" t="n"/>
      <c r="E206" s="16" t="n"/>
      <c r="F206" s="14" t="n"/>
      <c r="G206" s="17" t="n"/>
      <c r="H206" s="14" t="n"/>
      <c r="I206" s="17">
        <f>IF(OR(A206="",D206="",H206="Feito"),"",D206-TODAY())</f>
        <v/>
      </c>
      <c r="J206" s="14">
        <f>IF(OR(A206="",D206=""),"",IF(H206="Feito","FEITO",IF(I206&lt;0,"VENCIDO",IF(I206&lt;=IF(G206="",7,G206),"VENCE EM BREVE","No prazo"))))</f>
        <v/>
      </c>
      <c r="K206" s="15">
        <f>IF(OR(D206="",F206="",F206="Única"),"",EDATE(D206,IF(F206="Mensal",1,IF(F206="Trimestral",3,IF(F206="Semestral",6,12)))))</f>
        <v/>
      </c>
      <c r="L206" s="14" t="n"/>
    </row>
    <row r="207">
      <c r="A207" s="14" t="n"/>
      <c r="B207" s="14" t="n"/>
      <c r="C207" s="14" t="n"/>
      <c r="D207" s="15" t="n"/>
      <c r="E207" s="16" t="n"/>
      <c r="F207" s="14" t="n"/>
      <c r="G207" s="17" t="n"/>
      <c r="H207" s="14" t="n"/>
      <c r="I207" s="17">
        <f>IF(OR(A207="",D207="",H207="Feito"),"",D207-TODAY())</f>
        <v/>
      </c>
      <c r="J207" s="14">
        <f>IF(OR(A207="",D207=""),"",IF(H207="Feito","FEITO",IF(I207&lt;0,"VENCIDO",IF(I207&lt;=IF(G207="",7,G207),"VENCE EM BREVE","No prazo"))))</f>
        <v/>
      </c>
      <c r="K207" s="15">
        <f>IF(OR(D207="",F207="",F207="Única"),"",EDATE(D207,IF(F207="Mensal",1,IF(F207="Trimestral",3,IF(F207="Semestral",6,12)))))</f>
        <v/>
      </c>
      <c r="L207" s="14" t="n"/>
    </row>
    <row r="208">
      <c r="A208" s="14" t="n"/>
      <c r="B208" s="14" t="n"/>
      <c r="C208" s="14" t="n"/>
      <c r="D208" s="15" t="n"/>
      <c r="E208" s="16" t="n"/>
      <c r="F208" s="14" t="n"/>
      <c r="G208" s="17" t="n"/>
      <c r="H208" s="14" t="n"/>
      <c r="I208" s="17">
        <f>IF(OR(A208="",D208="",H208="Feito"),"",D208-TODAY())</f>
        <v/>
      </c>
      <c r="J208" s="14">
        <f>IF(OR(A208="",D208=""),"",IF(H208="Feito","FEITO",IF(I208&lt;0,"VENCIDO",IF(I208&lt;=IF(G208="",7,G208),"VENCE EM BREVE","No prazo"))))</f>
        <v/>
      </c>
      <c r="K208" s="15">
        <f>IF(OR(D208="",F208="",F208="Única"),"",EDATE(D208,IF(F208="Mensal",1,IF(F208="Trimestral",3,IF(F208="Semestral",6,12)))))</f>
        <v/>
      </c>
      <c r="L208" s="14" t="n"/>
    </row>
    <row r="209">
      <c r="A209" s="14" t="n"/>
      <c r="B209" s="14" t="n"/>
      <c r="C209" s="14" t="n"/>
      <c r="D209" s="15" t="n"/>
      <c r="E209" s="16" t="n"/>
      <c r="F209" s="14" t="n"/>
      <c r="G209" s="17" t="n"/>
      <c r="H209" s="14" t="n"/>
      <c r="I209" s="17">
        <f>IF(OR(A209="",D209="",H209="Feito"),"",D209-TODAY())</f>
        <v/>
      </c>
      <c r="J209" s="14">
        <f>IF(OR(A209="",D209=""),"",IF(H209="Feito","FEITO",IF(I209&lt;0,"VENCIDO",IF(I209&lt;=IF(G209="",7,G209),"VENCE EM BREVE","No prazo"))))</f>
        <v/>
      </c>
      <c r="K209" s="15">
        <f>IF(OR(D209="",F209="",F209="Única"),"",EDATE(D209,IF(F209="Mensal",1,IF(F209="Trimestral",3,IF(F209="Semestral",6,12)))))</f>
        <v/>
      </c>
      <c r="L209" s="14" t="n"/>
    </row>
    <row r="210">
      <c r="A210" s="14" t="n"/>
      <c r="B210" s="14" t="n"/>
      <c r="C210" s="14" t="n"/>
      <c r="D210" s="15" t="n"/>
      <c r="E210" s="16" t="n"/>
      <c r="F210" s="14" t="n"/>
      <c r="G210" s="17" t="n"/>
      <c r="H210" s="14" t="n"/>
      <c r="I210" s="17">
        <f>IF(OR(A210="",D210="",H210="Feito"),"",D210-TODAY())</f>
        <v/>
      </c>
      <c r="J210" s="14">
        <f>IF(OR(A210="",D210=""),"",IF(H210="Feito","FEITO",IF(I210&lt;0,"VENCIDO",IF(I210&lt;=IF(G210="",7,G210),"VENCE EM BREVE","No prazo"))))</f>
        <v/>
      </c>
      <c r="K210" s="15">
        <f>IF(OR(D210="",F210="",F210="Única"),"",EDATE(D210,IF(F210="Mensal",1,IF(F210="Trimestral",3,IF(F210="Semestral",6,12)))))</f>
        <v/>
      </c>
      <c r="L210" s="14" t="n"/>
    </row>
    <row r="211">
      <c r="A211" s="14" t="n"/>
      <c r="B211" s="14" t="n"/>
      <c r="C211" s="14" t="n"/>
      <c r="D211" s="15" t="n"/>
      <c r="E211" s="16" t="n"/>
      <c r="F211" s="14" t="n"/>
      <c r="G211" s="17" t="n"/>
      <c r="H211" s="14" t="n"/>
      <c r="I211" s="17">
        <f>IF(OR(A211="",D211="",H211="Feito"),"",D211-TODAY())</f>
        <v/>
      </c>
      <c r="J211" s="14">
        <f>IF(OR(A211="",D211=""),"",IF(H211="Feito","FEITO",IF(I211&lt;0,"VENCIDO",IF(I211&lt;=IF(G211="",7,G211),"VENCE EM BREVE","No prazo"))))</f>
        <v/>
      </c>
      <c r="K211" s="15">
        <f>IF(OR(D211="",F211="",F211="Única"),"",EDATE(D211,IF(F211="Mensal",1,IF(F211="Trimestral",3,IF(F211="Semestral",6,12)))))</f>
        <v/>
      </c>
      <c r="L211" s="14" t="n"/>
    </row>
    <row r="212">
      <c r="A212" s="14" t="n"/>
      <c r="B212" s="14" t="n"/>
      <c r="C212" s="14" t="n"/>
      <c r="D212" s="15" t="n"/>
      <c r="E212" s="16" t="n"/>
      <c r="F212" s="14" t="n"/>
      <c r="G212" s="17" t="n"/>
      <c r="H212" s="14" t="n"/>
      <c r="I212" s="17">
        <f>IF(OR(A212="",D212="",H212="Feito"),"",D212-TODAY())</f>
        <v/>
      </c>
      <c r="J212" s="14">
        <f>IF(OR(A212="",D212=""),"",IF(H212="Feito","FEITO",IF(I212&lt;0,"VENCIDO",IF(I212&lt;=IF(G212="",7,G212),"VENCE EM BREVE","No prazo"))))</f>
        <v/>
      </c>
      <c r="K212" s="15">
        <f>IF(OR(D212="",F212="",F212="Única"),"",EDATE(D212,IF(F212="Mensal",1,IF(F212="Trimestral",3,IF(F212="Semestral",6,12)))))</f>
        <v/>
      </c>
      <c r="L212" s="14" t="n"/>
    </row>
    <row r="213">
      <c r="A213" s="14" t="n"/>
      <c r="B213" s="14" t="n"/>
      <c r="C213" s="14" t="n"/>
      <c r="D213" s="15" t="n"/>
      <c r="E213" s="16" t="n"/>
      <c r="F213" s="14" t="n"/>
      <c r="G213" s="17" t="n"/>
      <c r="H213" s="14" t="n"/>
      <c r="I213" s="17">
        <f>IF(OR(A213="",D213="",H213="Feito"),"",D213-TODAY())</f>
        <v/>
      </c>
      <c r="J213" s="14">
        <f>IF(OR(A213="",D213=""),"",IF(H213="Feito","FEITO",IF(I213&lt;0,"VENCIDO",IF(I213&lt;=IF(G213="",7,G213),"VENCE EM BREVE","No prazo"))))</f>
        <v/>
      </c>
      <c r="K213" s="15">
        <f>IF(OR(D213="",F213="",F213="Única"),"",EDATE(D213,IF(F213="Mensal",1,IF(F213="Trimestral",3,IF(F213="Semestral",6,12)))))</f>
        <v/>
      </c>
      <c r="L213" s="14" t="n"/>
    </row>
    <row r="214">
      <c r="A214" s="14" t="n"/>
      <c r="B214" s="14" t="n"/>
      <c r="C214" s="14" t="n"/>
      <c r="D214" s="15" t="n"/>
      <c r="E214" s="16" t="n"/>
      <c r="F214" s="14" t="n"/>
      <c r="G214" s="17" t="n"/>
      <c r="H214" s="14" t="n"/>
      <c r="I214" s="17">
        <f>IF(OR(A214="",D214="",H214="Feito"),"",D214-TODAY())</f>
        <v/>
      </c>
      <c r="J214" s="14">
        <f>IF(OR(A214="",D214=""),"",IF(H214="Feito","FEITO",IF(I214&lt;0,"VENCIDO",IF(I214&lt;=IF(G214="",7,G214),"VENCE EM BREVE","No prazo"))))</f>
        <v/>
      </c>
      <c r="K214" s="15">
        <f>IF(OR(D214="",F214="",F214="Única"),"",EDATE(D214,IF(F214="Mensal",1,IF(F214="Trimestral",3,IF(F214="Semestral",6,12)))))</f>
        <v/>
      </c>
      <c r="L214" s="14" t="n"/>
    </row>
    <row r="215">
      <c r="A215" s="14" t="n"/>
      <c r="B215" s="14" t="n"/>
      <c r="C215" s="14" t="n"/>
      <c r="D215" s="15" t="n"/>
      <c r="E215" s="16" t="n"/>
      <c r="F215" s="14" t="n"/>
      <c r="G215" s="17" t="n"/>
      <c r="H215" s="14" t="n"/>
      <c r="I215" s="17">
        <f>IF(OR(A215="",D215="",H215="Feito"),"",D215-TODAY())</f>
        <v/>
      </c>
      <c r="J215" s="14">
        <f>IF(OR(A215="",D215=""),"",IF(H215="Feito","FEITO",IF(I215&lt;0,"VENCIDO",IF(I215&lt;=IF(G215="",7,G215),"VENCE EM BREVE","No prazo"))))</f>
        <v/>
      </c>
      <c r="K215" s="15">
        <f>IF(OR(D215="",F215="",F215="Única"),"",EDATE(D215,IF(F215="Mensal",1,IF(F215="Trimestral",3,IF(F215="Semestral",6,12)))))</f>
        <v/>
      </c>
      <c r="L215" s="14" t="n"/>
    </row>
    <row r="216">
      <c r="A216" s="14" t="n"/>
      <c r="B216" s="14" t="n"/>
      <c r="C216" s="14" t="n"/>
      <c r="D216" s="15" t="n"/>
      <c r="E216" s="16" t="n"/>
      <c r="F216" s="14" t="n"/>
      <c r="G216" s="17" t="n"/>
      <c r="H216" s="14" t="n"/>
      <c r="I216" s="17">
        <f>IF(OR(A216="",D216="",H216="Feito"),"",D216-TODAY())</f>
        <v/>
      </c>
      <c r="J216" s="14">
        <f>IF(OR(A216="",D216=""),"",IF(H216="Feito","FEITO",IF(I216&lt;0,"VENCIDO",IF(I216&lt;=IF(G216="",7,G216),"VENCE EM BREVE","No prazo"))))</f>
        <v/>
      </c>
      <c r="K216" s="15">
        <f>IF(OR(D216="",F216="",F216="Única"),"",EDATE(D216,IF(F216="Mensal",1,IF(F216="Trimestral",3,IF(F216="Semestral",6,12)))))</f>
        <v/>
      </c>
      <c r="L216" s="14" t="n"/>
    </row>
    <row r="217">
      <c r="A217" s="14" t="n"/>
      <c r="B217" s="14" t="n"/>
      <c r="C217" s="14" t="n"/>
      <c r="D217" s="15" t="n"/>
      <c r="E217" s="16" t="n"/>
      <c r="F217" s="14" t="n"/>
      <c r="G217" s="17" t="n"/>
      <c r="H217" s="14" t="n"/>
      <c r="I217" s="17">
        <f>IF(OR(A217="",D217="",H217="Feito"),"",D217-TODAY())</f>
        <v/>
      </c>
      <c r="J217" s="14">
        <f>IF(OR(A217="",D217=""),"",IF(H217="Feito","FEITO",IF(I217&lt;0,"VENCIDO",IF(I217&lt;=IF(G217="",7,G217),"VENCE EM BREVE","No prazo"))))</f>
        <v/>
      </c>
      <c r="K217" s="15">
        <f>IF(OR(D217="",F217="",F217="Única"),"",EDATE(D217,IF(F217="Mensal",1,IF(F217="Trimestral",3,IF(F217="Semestral",6,12)))))</f>
        <v/>
      </c>
      <c r="L217" s="14" t="n"/>
    </row>
    <row r="218">
      <c r="A218" s="14" t="n"/>
      <c r="B218" s="14" t="n"/>
      <c r="C218" s="14" t="n"/>
      <c r="D218" s="15" t="n"/>
      <c r="E218" s="16" t="n"/>
      <c r="F218" s="14" t="n"/>
      <c r="G218" s="17" t="n"/>
      <c r="H218" s="14" t="n"/>
      <c r="I218" s="17">
        <f>IF(OR(A218="",D218="",H218="Feito"),"",D218-TODAY())</f>
        <v/>
      </c>
      <c r="J218" s="14">
        <f>IF(OR(A218="",D218=""),"",IF(H218="Feito","FEITO",IF(I218&lt;0,"VENCIDO",IF(I218&lt;=IF(G218="",7,G218),"VENCE EM BREVE","No prazo"))))</f>
        <v/>
      </c>
      <c r="K218" s="15">
        <f>IF(OR(D218="",F218="",F218="Única"),"",EDATE(D218,IF(F218="Mensal",1,IF(F218="Trimestral",3,IF(F218="Semestral",6,12)))))</f>
        <v/>
      </c>
      <c r="L218" s="14" t="n"/>
    </row>
    <row r="219">
      <c r="A219" s="14" t="n"/>
      <c r="B219" s="14" t="n"/>
      <c r="C219" s="14" t="n"/>
      <c r="D219" s="15" t="n"/>
      <c r="E219" s="16" t="n"/>
      <c r="F219" s="14" t="n"/>
      <c r="G219" s="17" t="n"/>
      <c r="H219" s="14" t="n"/>
      <c r="I219" s="17">
        <f>IF(OR(A219="",D219="",H219="Feito"),"",D219-TODAY())</f>
        <v/>
      </c>
      <c r="J219" s="14">
        <f>IF(OR(A219="",D219=""),"",IF(H219="Feito","FEITO",IF(I219&lt;0,"VENCIDO",IF(I219&lt;=IF(G219="",7,G219),"VENCE EM BREVE","No prazo"))))</f>
        <v/>
      </c>
      <c r="K219" s="15">
        <f>IF(OR(D219="",F219="",F219="Única"),"",EDATE(D219,IF(F219="Mensal",1,IF(F219="Trimestral",3,IF(F219="Semestral",6,12)))))</f>
        <v/>
      </c>
      <c r="L219" s="14" t="n"/>
    </row>
    <row r="220">
      <c r="A220" s="14" t="n"/>
      <c r="B220" s="14" t="n"/>
      <c r="C220" s="14" t="n"/>
      <c r="D220" s="15" t="n"/>
      <c r="E220" s="16" t="n"/>
      <c r="F220" s="14" t="n"/>
      <c r="G220" s="17" t="n"/>
      <c r="H220" s="14" t="n"/>
      <c r="I220" s="17">
        <f>IF(OR(A220="",D220="",H220="Feito"),"",D220-TODAY())</f>
        <v/>
      </c>
      <c r="J220" s="14">
        <f>IF(OR(A220="",D220=""),"",IF(H220="Feito","FEITO",IF(I220&lt;0,"VENCIDO",IF(I220&lt;=IF(G220="",7,G220),"VENCE EM BREVE","No prazo"))))</f>
        <v/>
      </c>
      <c r="K220" s="15">
        <f>IF(OR(D220="",F220="",F220="Única"),"",EDATE(D220,IF(F220="Mensal",1,IF(F220="Trimestral",3,IF(F220="Semestral",6,12)))))</f>
        <v/>
      </c>
      <c r="L220" s="14" t="n"/>
    </row>
    <row r="221">
      <c r="A221" s="14" t="n"/>
      <c r="B221" s="14" t="n"/>
      <c r="C221" s="14" t="n"/>
      <c r="D221" s="15" t="n"/>
      <c r="E221" s="16" t="n"/>
      <c r="F221" s="14" t="n"/>
      <c r="G221" s="17" t="n"/>
      <c r="H221" s="14" t="n"/>
      <c r="I221" s="17">
        <f>IF(OR(A221="",D221="",H221="Feito"),"",D221-TODAY())</f>
        <v/>
      </c>
      <c r="J221" s="14">
        <f>IF(OR(A221="",D221=""),"",IF(H221="Feito","FEITO",IF(I221&lt;0,"VENCIDO",IF(I221&lt;=IF(G221="",7,G221),"VENCE EM BREVE","No prazo"))))</f>
        <v/>
      </c>
      <c r="K221" s="15">
        <f>IF(OR(D221="",F221="",F221="Única"),"",EDATE(D221,IF(F221="Mensal",1,IF(F221="Trimestral",3,IF(F221="Semestral",6,12)))))</f>
        <v/>
      </c>
      <c r="L221" s="14" t="n"/>
    </row>
    <row r="222">
      <c r="A222" s="14" t="n"/>
      <c r="B222" s="14" t="n"/>
      <c r="C222" s="14" t="n"/>
      <c r="D222" s="15" t="n"/>
      <c r="E222" s="16" t="n"/>
      <c r="F222" s="14" t="n"/>
      <c r="G222" s="17" t="n"/>
      <c r="H222" s="14" t="n"/>
      <c r="I222" s="17">
        <f>IF(OR(A222="",D222="",H222="Feito"),"",D222-TODAY())</f>
        <v/>
      </c>
      <c r="J222" s="14">
        <f>IF(OR(A222="",D222=""),"",IF(H222="Feito","FEITO",IF(I222&lt;0,"VENCIDO",IF(I222&lt;=IF(G222="",7,G222),"VENCE EM BREVE","No prazo"))))</f>
        <v/>
      </c>
      <c r="K222" s="15">
        <f>IF(OR(D222="",F222="",F222="Única"),"",EDATE(D222,IF(F222="Mensal",1,IF(F222="Trimestral",3,IF(F222="Semestral",6,12)))))</f>
        <v/>
      </c>
      <c r="L222" s="14" t="n"/>
    </row>
    <row r="223">
      <c r="A223" s="14" t="n"/>
      <c r="B223" s="14" t="n"/>
      <c r="C223" s="14" t="n"/>
      <c r="D223" s="15" t="n"/>
      <c r="E223" s="16" t="n"/>
      <c r="F223" s="14" t="n"/>
      <c r="G223" s="17" t="n"/>
      <c r="H223" s="14" t="n"/>
      <c r="I223" s="17">
        <f>IF(OR(A223="",D223="",H223="Feito"),"",D223-TODAY())</f>
        <v/>
      </c>
      <c r="J223" s="14">
        <f>IF(OR(A223="",D223=""),"",IF(H223="Feito","FEITO",IF(I223&lt;0,"VENCIDO",IF(I223&lt;=IF(G223="",7,G223),"VENCE EM BREVE","No prazo"))))</f>
        <v/>
      </c>
      <c r="K223" s="15">
        <f>IF(OR(D223="",F223="",F223="Única"),"",EDATE(D223,IF(F223="Mensal",1,IF(F223="Trimestral",3,IF(F223="Semestral",6,12)))))</f>
        <v/>
      </c>
      <c r="L223" s="14" t="n"/>
    </row>
    <row r="224">
      <c r="A224" s="14" t="n"/>
      <c r="B224" s="14" t="n"/>
      <c r="C224" s="14" t="n"/>
      <c r="D224" s="15" t="n"/>
      <c r="E224" s="16" t="n"/>
      <c r="F224" s="14" t="n"/>
      <c r="G224" s="17" t="n"/>
      <c r="H224" s="14" t="n"/>
      <c r="I224" s="17">
        <f>IF(OR(A224="",D224="",H224="Feito"),"",D224-TODAY())</f>
        <v/>
      </c>
      <c r="J224" s="14">
        <f>IF(OR(A224="",D224=""),"",IF(H224="Feito","FEITO",IF(I224&lt;0,"VENCIDO",IF(I224&lt;=IF(G224="",7,G224),"VENCE EM BREVE","No prazo"))))</f>
        <v/>
      </c>
      <c r="K224" s="15">
        <f>IF(OR(D224="",F224="",F224="Única"),"",EDATE(D224,IF(F224="Mensal",1,IF(F224="Trimestral",3,IF(F224="Semestral",6,12)))))</f>
        <v/>
      </c>
      <c r="L224" s="14" t="n"/>
    </row>
    <row r="225">
      <c r="A225" s="14" t="n"/>
      <c r="B225" s="14" t="n"/>
      <c r="C225" s="14" t="n"/>
      <c r="D225" s="15" t="n"/>
      <c r="E225" s="16" t="n"/>
      <c r="F225" s="14" t="n"/>
      <c r="G225" s="17" t="n"/>
      <c r="H225" s="14" t="n"/>
      <c r="I225" s="17">
        <f>IF(OR(A225="",D225="",H225="Feito"),"",D225-TODAY())</f>
        <v/>
      </c>
      <c r="J225" s="14">
        <f>IF(OR(A225="",D225=""),"",IF(H225="Feito","FEITO",IF(I225&lt;0,"VENCIDO",IF(I225&lt;=IF(G225="",7,G225),"VENCE EM BREVE","No prazo"))))</f>
        <v/>
      </c>
      <c r="K225" s="15">
        <f>IF(OR(D225="",F225="",F225="Única"),"",EDATE(D225,IF(F225="Mensal",1,IF(F225="Trimestral",3,IF(F225="Semestral",6,12)))))</f>
        <v/>
      </c>
      <c r="L225" s="14" t="n"/>
    </row>
    <row r="226">
      <c r="A226" s="14" t="n"/>
      <c r="B226" s="14" t="n"/>
      <c r="C226" s="14" t="n"/>
      <c r="D226" s="15" t="n"/>
      <c r="E226" s="16" t="n"/>
      <c r="F226" s="14" t="n"/>
      <c r="G226" s="17" t="n"/>
      <c r="H226" s="14" t="n"/>
      <c r="I226" s="17">
        <f>IF(OR(A226="",D226="",H226="Feito"),"",D226-TODAY())</f>
        <v/>
      </c>
      <c r="J226" s="14">
        <f>IF(OR(A226="",D226=""),"",IF(H226="Feito","FEITO",IF(I226&lt;0,"VENCIDO",IF(I226&lt;=IF(G226="",7,G226),"VENCE EM BREVE","No prazo"))))</f>
        <v/>
      </c>
      <c r="K226" s="15">
        <f>IF(OR(D226="",F226="",F226="Única"),"",EDATE(D226,IF(F226="Mensal",1,IF(F226="Trimestral",3,IF(F226="Semestral",6,12)))))</f>
        <v/>
      </c>
      <c r="L226" s="14" t="n"/>
    </row>
    <row r="227">
      <c r="A227" s="14" t="n"/>
      <c r="B227" s="14" t="n"/>
      <c r="C227" s="14" t="n"/>
      <c r="D227" s="15" t="n"/>
      <c r="E227" s="16" t="n"/>
      <c r="F227" s="14" t="n"/>
      <c r="G227" s="17" t="n"/>
      <c r="H227" s="14" t="n"/>
      <c r="I227" s="17">
        <f>IF(OR(A227="",D227="",H227="Feito"),"",D227-TODAY())</f>
        <v/>
      </c>
      <c r="J227" s="14">
        <f>IF(OR(A227="",D227=""),"",IF(H227="Feito","FEITO",IF(I227&lt;0,"VENCIDO",IF(I227&lt;=IF(G227="",7,G227),"VENCE EM BREVE","No prazo"))))</f>
        <v/>
      </c>
      <c r="K227" s="15">
        <f>IF(OR(D227="",F227="",F227="Única"),"",EDATE(D227,IF(F227="Mensal",1,IF(F227="Trimestral",3,IF(F227="Semestral",6,12)))))</f>
        <v/>
      </c>
      <c r="L227" s="14" t="n"/>
    </row>
    <row r="228">
      <c r="A228" s="14" t="n"/>
      <c r="B228" s="14" t="n"/>
      <c r="C228" s="14" t="n"/>
      <c r="D228" s="15" t="n"/>
      <c r="E228" s="16" t="n"/>
      <c r="F228" s="14" t="n"/>
      <c r="G228" s="17" t="n"/>
      <c r="H228" s="14" t="n"/>
      <c r="I228" s="17">
        <f>IF(OR(A228="",D228="",H228="Feito"),"",D228-TODAY())</f>
        <v/>
      </c>
      <c r="J228" s="14">
        <f>IF(OR(A228="",D228=""),"",IF(H228="Feito","FEITO",IF(I228&lt;0,"VENCIDO",IF(I228&lt;=IF(G228="",7,G228),"VENCE EM BREVE","No prazo"))))</f>
        <v/>
      </c>
      <c r="K228" s="15">
        <f>IF(OR(D228="",F228="",F228="Única"),"",EDATE(D228,IF(F228="Mensal",1,IF(F228="Trimestral",3,IF(F228="Semestral",6,12)))))</f>
        <v/>
      </c>
      <c r="L228" s="14" t="n"/>
    </row>
    <row r="229">
      <c r="A229" s="14" t="n"/>
      <c r="B229" s="14" t="n"/>
      <c r="C229" s="14" t="n"/>
      <c r="D229" s="15" t="n"/>
      <c r="E229" s="16" t="n"/>
      <c r="F229" s="14" t="n"/>
      <c r="G229" s="17" t="n"/>
      <c r="H229" s="14" t="n"/>
      <c r="I229" s="17">
        <f>IF(OR(A229="",D229="",H229="Feito"),"",D229-TODAY())</f>
        <v/>
      </c>
      <c r="J229" s="14">
        <f>IF(OR(A229="",D229=""),"",IF(H229="Feito","FEITO",IF(I229&lt;0,"VENCIDO",IF(I229&lt;=IF(G229="",7,G229),"VENCE EM BREVE","No prazo"))))</f>
        <v/>
      </c>
      <c r="K229" s="15">
        <f>IF(OR(D229="",F229="",F229="Única"),"",EDATE(D229,IF(F229="Mensal",1,IF(F229="Trimestral",3,IF(F229="Semestral",6,12)))))</f>
        <v/>
      </c>
      <c r="L229" s="14" t="n"/>
    </row>
    <row r="230">
      <c r="A230" s="14" t="n"/>
      <c r="B230" s="14" t="n"/>
      <c r="C230" s="14" t="n"/>
      <c r="D230" s="15" t="n"/>
      <c r="E230" s="16" t="n"/>
      <c r="F230" s="14" t="n"/>
      <c r="G230" s="17" t="n"/>
      <c r="H230" s="14" t="n"/>
      <c r="I230" s="17">
        <f>IF(OR(A230="",D230="",H230="Feito"),"",D230-TODAY())</f>
        <v/>
      </c>
      <c r="J230" s="14">
        <f>IF(OR(A230="",D230=""),"",IF(H230="Feito","FEITO",IF(I230&lt;0,"VENCIDO",IF(I230&lt;=IF(G230="",7,G230),"VENCE EM BREVE","No prazo"))))</f>
        <v/>
      </c>
      <c r="K230" s="15">
        <f>IF(OR(D230="",F230="",F230="Única"),"",EDATE(D230,IF(F230="Mensal",1,IF(F230="Trimestral",3,IF(F230="Semestral",6,12)))))</f>
        <v/>
      </c>
      <c r="L230" s="14" t="n"/>
    </row>
    <row r="231">
      <c r="A231" s="14" t="n"/>
      <c r="B231" s="14" t="n"/>
      <c r="C231" s="14" t="n"/>
      <c r="D231" s="15" t="n"/>
      <c r="E231" s="16" t="n"/>
      <c r="F231" s="14" t="n"/>
      <c r="G231" s="17" t="n"/>
      <c r="H231" s="14" t="n"/>
      <c r="I231" s="17">
        <f>IF(OR(A231="",D231="",H231="Feito"),"",D231-TODAY())</f>
        <v/>
      </c>
      <c r="J231" s="14">
        <f>IF(OR(A231="",D231=""),"",IF(H231="Feito","FEITO",IF(I231&lt;0,"VENCIDO",IF(I231&lt;=IF(G231="",7,G231),"VENCE EM BREVE","No prazo"))))</f>
        <v/>
      </c>
      <c r="K231" s="15">
        <f>IF(OR(D231="",F231="",F231="Única"),"",EDATE(D231,IF(F231="Mensal",1,IF(F231="Trimestral",3,IF(F231="Semestral",6,12)))))</f>
        <v/>
      </c>
      <c r="L231" s="14" t="n"/>
    </row>
    <row r="232">
      <c r="A232" s="14" t="n"/>
      <c r="B232" s="14" t="n"/>
      <c r="C232" s="14" t="n"/>
      <c r="D232" s="15" t="n"/>
      <c r="E232" s="16" t="n"/>
      <c r="F232" s="14" t="n"/>
      <c r="G232" s="17" t="n"/>
      <c r="H232" s="14" t="n"/>
      <c r="I232" s="17">
        <f>IF(OR(A232="",D232="",H232="Feito"),"",D232-TODAY())</f>
        <v/>
      </c>
      <c r="J232" s="14">
        <f>IF(OR(A232="",D232=""),"",IF(H232="Feito","FEITO",IF(I232&lt;0,"VENCIDO",IF(I232&lt;=IF(G232="",7,G232),"VENCE EM BREVE","No prazo"))))</f>
        <v/>
      </c>
      <c r="K232" s="15">
        <f>IF(OR(D232="",F232="",F232="Única"),"",EDATE(D232,IF(F232="Mensal",1,IF(F232="Trimestral",3,IF(F232="Semestral",6,12)))))</f>
        <v/>
      </c>
      <c r="L232" s="14" t="n"/>
    </row>
    <row r="233">
      <c r="A233" s="14" t="n"/>
      <c r="B233" s="14" t="n"/>
      <c r="C233" s="14" t="n"/>
      <c r="D233" s="15" t="n"/>
      <c r="E233" s="16" t="n"/>
      <c r="F233" s="14" t="n"/>
      <c r="G233" s="17" t="n"/>
      <c r="H233" s="14" t="n"/>
      <c r="I233" s="17">
        <f>IF(OR(A233="",D233="",H233="Feito"),"",D233-TODAY())</f>
        <v/>
      </c>
      <c r="J233" s="14">
        <f>IF(OR(A233="",D233=""),"",IF(H233="Feito","FEITO",IF(I233&lt;0,"VENCIDO",IF(I233&lt;=IF(G233="",7,G233),"VENCE EM BREVE","No prazo"))))</f>
        <v/>
      </c>
      <c r="K233" s="15">
        <f>IF(OR(D233="",F233="",F233="Única"),"",EDATE(D233,IF(F233="Mensal",1,IF(F233="Trimestral",3,IF(F233="Semestral",6,12)))))</f>
        <v/>
      </c>
      <c r="L233" s="14" t="n"/>
    </row>
    <row r="234">
      <c r="A234" s="14" t="n"/>
      <c r="B234" s="14" t="n"/>
      <c r="C234" s="14" t="n"/>
      <c r="D234" s="15" t="n"/>
      <c r="E234" s="16" t="n"/>
      <c r="F234" s="14" t="n"/>
      <c r="G234" s="17" t="n"/>
      <c r="H234" s="14" t="n"/>
      <c r="I234" s="17">
        <f>IF(OR(A234="",D234="",H234="Feito"),"",D234-TODAY())</f>
        <v/>
      </c>
      <c r="J234" s="14">
        <f>IF(OR(A234="",D234=""),"",IF(H234="Feito","FEITO",IF(I234&lt;0,"VENCIDO",IF(I234&lt;=IF(G234="",7,G234),"VENCE EM BREVE","No prazo"))))</f>
        <v/>
      </c>
      <c r="K234" s="15">
        <f>IF(OR(D234="",F234="",F234="Única"),"",EDATE(D234,IF(F234="Mensal",1,IF(F234="Trimestral",3,IF(F234="Semestral",6,12)))))</f>
        <v/>
      </c>
      <c r="L234" s="14" t="n"/>
    </row>
    <row r="235">
      <c r="A235" s="14" t="n"/>
      <c r="B235" s="14" t="n"/>
      <c r="C235" s="14" t="n"/>
      <c r="D235" s="15" t="n"/>
      <c r="E235" s="16" t="n"/>
      <c r="F235" s="14" t="n"/>
      <c r="G235" s="17" t="n"/>
      <c r="H235" s="14" t="n"/>
      <c r="I235" s="17">
        <f>IF(OR(A235="",D235="",H235="Feito"),"",D235-TODAY())</f>
        <v/>
      </c>
      <c r="J235" s="14">
        <f>IF(OR(A235="",D235=""),"",IF(H235="Feito","FEITO",IF(I235&lt;0,"VENCIDO",IF(I235&lt;=IF(G235="",7,G235),"VENCE EM BREVE","No prazo"))))</f>
        <v/>
      </c>
      <c r="K235" s="15">
        <f>IF(OR(D235="",F235="",F235="Única"),"",EDATE(D235,IF(F235="Mensal",1,IF(F235="Trimestral",3,IF(F235="Semestral",6,12)))))</f>
        <v/>
      </c>
      <c r="L235" s="14" t="n"/>
    </row>
    <row r="236">
      <c r="A236" s="14" t="n"/>
      <c r="B236" s="14" t="n"/>
      <c r="C236" s="14" t="n"/>
      <c r="D236" s="15" t="n"/>
      <c r="E236" s="16" t="n"/>
      <c r="F236" s="14" t="n"/>
      <c r="G236" s="17" t="n"/>
      <c r="H236" s="14" t="n"/>
      <c r="I236" s="17">
        <f>IF(OR(A236="",D236="",H236="Feito"),"",D236-TODAY())</f>
        <v/>
      </c>
      <c r="J236" s="14">
        <f>IF(OR(A236="",D236=""),"",IF(H236="Feito","FEITO",IF(I236&lt;0,"VENCIDO",IF(I236&lt;=IF(G236="",7,G236),"VENCE EM BREVE","No prazo"))))</f>
        <v/>
      </c>
      <c r="K236" s="15">
        <f>IF(OR(D236="",F236="",F236="Única"),"",EDATE(D236,IF(F236="Mensal",1,IF(F236="Trimestral",3,IF(F236="Semestral",6,12)))))</f>
        <v/>
      </c>
      <c r="L236" s="14" t="n"/>
    </row>
    <row r="237">
      <c r="A237" s="14" t="n"/>
      <c r="B237" s="14" t="n"/>
      <c r="C237" s="14" t="n"/>
      <c r="D237" s="15" t="n"/>
      <c r="E237" s="16" t="n"/>
      <c r="F237" s="14" t="n"/>
      <c r="G237" s="17" t="n"/>
      <c r="H237" s="14" t="n"/>
      <c r="I237" s="17">
        <f>IF(OR(A237="",D237="",H237="Feito"),"",D237-TODAY())</f>
        <v/>
      </c>
      <c r="J237" s="14">
        <f>IF(OR(A237="",D237=""),"",IF(H237="Feito","FEITO",IF(I237&lt;0,"VENCIDO",IF(I237&lt;=IF(G237="",7,G237),"VENCE EM BREVE","No prazo"))))</f>
        <v/>
      </c>
      <c r="K237" s="15">
        <f>IF(OR(D237="",F237="",F237="Única"),"",EDATE(D237,IF(F237="Mensal",1,IF(F237="Trimestral",3,IF(F237="Semestral",6,12)))))</f>
        <v/>
      </c>
      <c r="L237" s="14" t="n"/>
    </row>
    <row r="238">
      <c r="A238" s="14" t="n"/>
      <c r="B238" s="14" t="n"/>
      <c r="C238" s="14" t="n"/>
      <c r="D238" s="15" t="n"/>
      <c r="E238" s="16" t="n"/>
      <c r="F238" s="14" t="n"/>
      <c r="G238" s="17" t="n"/>
      <c r="H238" s="14" t="n"/>
      <c r="I238" s="17">
        <f>IF(OR(A238="",D238="",H238="Feito"),"",D238-TODAY())</f>
        <v/>
      </c>
      <c r="J238" s="14">
        <f>IF(OR(A238="",D238=""),"",IF(H238="Feito","FEITO",IF(I238&lt;0,"VENCIDO",IF(I238&lt;=IF(G238="",7,G238),"VENCE EM BREVE","No prazo"))))</f>
        <v/>
      </c>
      <c r="K238" s="15">
        <f>IF(OR(D238="",F238="",F238="Única"),"",EDATE(D238,IF(F238="Mensal",1,IF(F238="Trimestral",3,IF(F238="Semestral",6,12)))))</f>
        <v/>
      </c>
      <c r="L238" s="14" t="n"/>
    </row>
    <row r="239">
      <c r="A239" s="14" t="n"/>
      <c r="B239" s="14" t="n"/>
      <c r="C239" s="14" t="n"/>
      <c r="D239" s="15" t="n"/>
      <c r="E239" s="16" t="n"/>
      <c r="F239" s="14" t="n"/>
      <c r="G239" s="17" t="n"/>
      <c r="H239" s="14" t="n"/>
      <c r="I239" s="17">
        <f>IF(OR(A239="",D239="",H239="Feito"),"",D239-TODAY())</f>
        <v/>
      </c>
      <c r="J239" s="14">
        <f>IF(OR(A239="",D239=""),"",IF(H239="Feito","FEITO",IF(I239&lt;0,"VENCIDO",IF(I239&lt;=IF(G239="",7,G239),"VENCE EM BREVE","No prazo"))))</f>
        <v/>
      </c>
      <c r="K239" s="15">
        <f>IF(OR(D239="",F239="",F239="Única"),"",EDATE(D239,IF(F239="Mensal",1,IF(F239="Trimestral",3,IF(F239="Semestral",6,12)))))</f>
        <v/>
      </c>
      <c r="L239" s="14" t="n"/>
    </row>
    <row r="240">
      <c r="A240" s="14" t="n"/>
      <c r="B240" s="14" t="n"/>
      <c r="C240" s="14" t="n"/>
      <c r="D240" s="15" t="n"/>
      <c r="E240" s="16" t="n"/>
      <c r="F240" s="14" t="n"/>
      <c r="G240" s="17" t="n"/>
      <c r="H240" s="14" t="n"/>
      <c r="I240" s="17">
        <f>IF(OR(A240="",D240="",H240="Feito"),"",D240-TODAY())</f>
        <v/>
      </c>
      <c r="J240" s="14">
        <f>IF(OR(A240="",D240=""),"",IF(H240="Feito","FEITO",IF(I240&lt;0,"VENCIDO",IF(I240&lt;=IF(G240="",7,G240),"VENCE EM BREVE","No prazo"))))</f>
        <v/>
      </c>
      <c r="K240" s="15">
        <f>IF(OR(D240="",F240="",F240="Única"),"",EDATE(D240,IF(F240="Mensal",1,IF(F240="Trimestral",3,IF(F240="Semestral",6,12)))))</f>
        <v/>
      </c>
      <c r="L240" s="14" t="n"/>
    </row>
    <row r="241">
      <c r="A241" s="14" t="n"/>
      <c r="B241" s="14" t="n"/>
      <c r="C241" s="14" t="n"/>
      <c r="D241" s="15" t="n"/>
      <c r="E241" s="16" t="n"/>
      <c r="F241" s="14" t="n"/>
      <c r="G241" s="17" t="n"/>
      <c r="H241" s="14" t="n"/>
      <c r="I241" s="17">
        <f>IF(OR(A241="",D241="",H241="Feito"),"",D241-TODAY())</f>
        <v/>
      </c>
      <c r="J241" s="14">
        <f>IF(OR(A241="",D241=""),"",IF(H241="Feito","FEITO",IF(I241&lt;0,"VENCIDO",IF(I241&lt;=IF(G241="",7,G241),"VENCE EM BREVE","No prazo"))))</f>
        <v/>
      </c>
      <c r="K241" s="15">
        <f>IF(OR(D241="",F241="",F241="Única"),"",EDATE(D241,IF(F241="Mensal",1,IF(F241="Trimestral",3,IF(F241="Semestral",6,12)))))</f>
        <v/>
      </c>
      <c r="L241" s="14" t="n"/>
    </row>
    <row r="242">
      <c r="A242" s="14" t="n"/>
      <c r="B242" s="14" t="n"/>
      <c r="C242" s="14" t="n"/>
      <c r="D242" s="15" t="n"/>
      <c r="E242" s="16" t="n"/>
      <c r="F242" s="14" t="n"/>
      <c r="G242" s="17" t="n"/>
      <c r="H242" s="14" t="n"/>
      <c r="I242" s="17">
        <f>IF(OR(A242="",D242="",H242="Feito"),"",D242-TODAY())</f>
        <v/>
      </c>
      <c r="J242" s="14">
        <f>IF(OR(A242="",D242=""),"",IF(H242="Feito","FEITO",IF(I242&lt;0,"VENCIDO",IF(I242&lt;=IF(G242="",7,G242),"VENCE EM BREVE","No prazo"))))</f>
        <v/>
      </c>
      <c r="K242" s="15">
        <f>IF(OR(D242="",F242="",F242="Única"),"",EDATE(D242,IF(F242="Mensal",1,IF(F242="Trimestral",3,IF(F242="Semestral",6,12)))))</f>
        <v/>
      </c>
      <c r="L242" s="14" t="n"/>
    </row>
    <row r="243">
      <c r="A243" s="14" t="n"/>
      <c r="B243" s="14" t="n"/>
      <c r="C243" s="14" t="n"/>
      <c r="D243" s="15" t="n"/>
      <c r="E243" s="16" t="n"/>
      <c r="F243" s="14" t="n"/>
      <c r="G243" s="17" t="n"/>
      <c r="H243" s="14" t="n"/>
      <c r="I243" s="17">
        <f>IF(OR(A243="",D243="",H243="Feito"),"",D243-TODAY())</f>
        <v/>
      </c>
      <c r="J243" s="14">
        <f>IF(OR(A243="",D243=""),"",IF(H243="Feito","FEITO",IF(I243&lt;0,"VENCIDO",IF(I243&lt;=IF(G243="",7,G243),"VENCE EM BREVE","No prazo"))))</f>
        <v/>
      </c>
      <c r="K243" s="15">
        <f>IF(OR(D243="",F243="",F243="Única"),"",EDATE(D243,IF(F243="Mensal",1,IF(F243="Trimestral",3,IF(F243="Semestral",6,12)))))</f>
        <v/>
      </c>
      <c r="L243" s="14" t="n"/>
    </row>
    <row r="244">
      <c r="A244" s="14" t="n"/>
      <c r="B244" s="14" t="n"/>
      <c r="C244" s="14" t="n"/>
      <c r="D244" s="15" t="n"/>
      <c r="E244" s="16" t="n"/>
      <c r="F244" s="14" t="n"/>
      <c r="G244" s="17" t="n"/>
      <c r="H244" s="14" t="n"/>
      <c r="I244" s="17">
        <f>IF(OR(A244="",D244="",H244="Feito"),"",D244-TODAY())</f>
        <v/>
      </c>
      <c r="J244" s="14">
        <f>IF(OR(A244="",D244=""),"",IF(H244="Feito","FEITO",IF(I244&lt;0,"VENCIDO",IF(I244&lt;=IF(G244="",7,G244),"VENCE EM BREVE","No prazo"))))</f>
        <v/>
      </c>
      <c r="K244" s="15">
        <f>IF(OR(D244="",F244="",F244="Única"),"",EDATE(D244,IF(F244="Mensal",1,IF(F244="Trimestral",3,IF(F244="Semestral",6,12)))))</f>
        <v/>
      </c>
      <c r="L244" s="14" t="n"/>
    </row>
    <row r="245">
      <c r="A245" s="14" t="n"/>
      <c r="B245" s="14" t="n"/>
      <c r="C245" s="14" t="n"/>
      <c r="D245" s="15" t="n"/>
      <c r="E245" s="16" t="n"/>
      <c r="F245" s="14" t="n"/>
      <c r="G245" s="17" t="n"/>
      <c r="H245" s="14" t="n"/>
      <c r="I245" s="17">
        <f>IF(OR(A245="",D245="",H245="Feito"),"",D245-TODAY())</f>
        <v/>
      </c>
      <c r="J245" s="14">
        <f>IF(OR(A245="",D245=""),"",IF(H245="Feito","FEITO",IF(I245&lt;0,"VENCIDO",IF(I245&lt;=IF(G245="",7,G245),"VENCE EM BREVE","No prazo"))))</f>
        <v/>
      </c>
      <c r="K245" s="15">
        <f>IF(OR(D245="",F245="",F245="Única"),"",EDATE(D245,IF(F245="Mensal",1,IF(F245="Trimestral",3,IF(F245="Semestral",6,12)))))</f>
        <v/>
      </c>
      <c r="L245" s="14" t="n"/>
    </row>
    <row r="246">
      <c r="A246" s="14" t="n"/>
      <c r="B246" s="14" t="n"/>
      <c r="C246" s="14" t="n"/>
      <c r="D246" s="15" t="n"/>
      <c r="E246" s="16" t="n"/>
      <c r="F246" s="14" t="n"/>
      <c r="G246" s="17" t="n"/>
      <c r="H246" s="14" t="n"/>
      <c r="I246" s="17">
        <f>IF(OR(A246="",D246="",H246="Feito"),"",D246-TODAY())</f>
        <v/>
      </c>
      <c r="J246" s="14">
        <f>IF(OR(A246="",D246=""),"",IF(H246="Feito","FEITO",IF(I246&lt;0,"VENCIDO",IF(I246&lt;=IF(G246="",7,G246),"VENCE EM BREVE","No prazo"))))</f>
        <v/>
      </c>
      <c r="K246" s="15">
        <f>IF(OR(D246="",F246="",F246="Única"),"",EDATE(D246,IF(F246="Mensal",1,IF(F246="Trimestral",3,IF(F246="Semestral",6,12)))))</f>
        <v/>
      </c>
      <c r="L246" s="14" t="n"/>
    </row>
    <row r="247">
      <c r="A247" s="14" t="n"/>
      <c r="B247" s="14" t="n"/>
      <c r="C247" s="14" t="n"/>
      <c r="D247" s="15" t="n"/>
      <c r="E247" s="16" t="n"/>
      <c r="F247" s="14" t="n"/>
      <c r="G247" s="17" t="n"/>
      <c r="H247" s="14" t="n"/>
      <c r="I247" s="17">
        <f>IF(OR(A247="",D247="",H247="Feito"),"",D247-TODAY())</f>
        <v/>
      </c>
      <c r="J247" s="14">
        <f>IF(OR(A247="",D247=""),"",IF(H247="Feito","FEITO",IF(I247&lt;0,"VENCIDO",IF(I247&lt;=IF(G247="",7,G247),"VENCE EM BREVE","No prazo"))))</f>
        <v/>
      </c>
      <c r="K247" s="15">
        <f>IF(OR(D247="",F247="",F247="Única"),"",EDATE(D247,IF(F247="Mensal",1,IF(F247="Trimestral",3,IF(F247="Semestral",6,12)))))</f>
        <v/>
      </c>
      <c r="L247" s="14" t="n"/>
    </row>
    <row r="248">
      <c r="A248" s="14" t="n"/>
      <c r="B248" s="14" t="n"/>
      <c r="C248" s="14" t="n"/>
      <c r="D248" s="15" t="n"/>
      <c r="E248" s="16" t="n"/>
      <c r="F248" s="14" t="n"/>
      <c r="G248" s="17" t="n"/>
      <c r="H248" s="14" t="n"/>
      <c r="I248" s="17">
        <f>IF(OR(A248="",D248="",H248="Feito"),"",D248-TODAY())</f>
        <v/>
      </c>
      <c r="J248" s="14">
        <f>IF(OR(A248="",D248=""),"",IF(H248="Feito","FEITO",IF(I248&lt;0,"VENCIDO",IF(I248&lt;=IF(G248="",7,G248),"VENCE EM BREVE","No prazo"))))</f>
        <v/>
      </c>
      <c r="K248" s="15">
        <f>IF(OR(D248="",F248="",F248="Única"),"",EDATE(D248,IF(F248="Mensal",1,IF(F248="Trimestral",3,IF(F248="Semestral",6,12)))))</f>
        <v/>
      </c>
      <c r="L248" s="14" t="n"/>
    </row>
    <row r="249">
      <c r="A249" s="14" t="n"/>
      <c r="B249" s="14" t="n"/>
      <c r="C249" s="14" t="n"/>
      <c r="D249" s="15" t="n"/>
      <c r="E249" s="16" t="n"/>
      <c r="F249" s="14" t="n"/>
      <c r="G249" s="17" t="n"/>
      <c r="H249" s="14" t="n"/>
      <c r="I249" s="17">
        <f>IF(OR(A249="",D249="",H249="Feito"),"",D249-TODAY())</f>
        <v/>
      </c>
      <c r="J249" s="14">
        <f>IF(OR(A249="",D249=""),"",IF(H249="Feito","FEITO",IF(I249&lt;0,"VENCIDO",IF(I249&lt;=IF(G249="",7,G249),"VENCE EM BREVE","No prazo"))))</f>
        <v/>
      </c>
      <c r="K249" s="15">
        <f>IF(OR(D249="",F249="",F249="Única"),"",EDATE(D249,IF(F249="Mensal",1,IF(F249="Trimestral",3,IF(F249="Semestral",6,12)))))</f>
        <v/>
      </c>
      <c r="L249" s="14" t="n"/>
    </row>
    <row r="250">
      <c r="A250" s="14" t="n"/>
      <c r="B250" s="14" t="n"/>
      <c r="C250" s="14" t="n"/>
      <c r="D250" s="15" t="n"/>
      <c r="E250" s="16" t="n"/>
      <c r="F250" s="14" t="n"/>
      <c r="G250" s="17" t="n"/>
      <c r="H250" s="14" t="n"/>
      <c r="I250" s="17">
        <f>IF(OR(A250="",D250="",H250="Feito"),"",D250-TODAY())</f>
        <v/>
      </c>
      <c r="J250" s="14">
        <f>IF(OR(A250="",D250=""),"",IF(H250="Feito","FEITO",IF(I250&lt;0,"VENCIDO",IF(I250&lt;=IF(G250="",7,G250),"VENCE EM BREVE","No prazo"))))</f>
        <v/>
      </c>
      <c r="K250" s="15">
        <f>IF(OR(D250="",F250="",F250="Única"),"",EDATE(D250,IF(F250="Mensal",1,IF(F250="Trimestral",3,IF(F250="Semestral",6,12)))))</f>
        <v/>
      </c>
      <c r="L250" s="14" t="n"/>
    </row>
    <row r="251">
      <c r="A251" s="14" t="n"/>
      <c r="B251" s="14" t="n"/>
      <c r="C251" s="14" t="n"/>
      <c r="D251" s="15" t="n"/>
      <c r="E251" s="16" t="n"/>
      <c r="F251" s="14" t="n"/>
      <c r="G251" s="17" t="n"/>
      <c r="H251" s="14" t="n"/>
      <c r="I251" s="17">
        <f>IF(OR(A251="",D251="",H251="Feito"),"",D251-TODAY())</f>
        <v/>
      </c>
      <c r="J251" s="14">
        <f>IF(OR(A251="",D251=""),"",IF(H251="Feito","FEITO",IF(I251&lt;0,"VENCIDO",IF(I251&lt;=IF(G251="",7,G251),"VENCE EM BREVE","No prazo"))))</f>
        <v/>
      </c>
      <c r="K251" s="15">
        <f>IF(OR(D251="",F251="",F251="Única"),"",EDATE(D251,IF(F251="Mensal",1,IF(F251="Trimestral",3,IF(F251="Semestral",6,12)))))</f>
        <v/>
      </c>
      <c r="L251" s="14" t="n"/>
    </row>
    <row r="252">
      <c r="A252" s="14" t="n"/>
      <c r="B252" s="14" t="n"/>
      <c r="C252" s="14" t="n"/>
      <c r="D252" s="15" t="n"/>
      <c r="E252" s="16" t="n"/>
      <c r="F252" s="14" t="n"/>
      <c r="G252" s="17" t="n"/>
      <c r="H252" s="14" t="n"/>
      <c r="I252" s="17">
        <f>IF(OR(A252="",D252="",H252="Feito"),"",D252-TODAY())</f>
        <v/>
      </c>
      <c r="J252" s="14">
        <f>IF(OR(A252="",D252=""),"",IF(H252="Feito","FEITO",IF(I252&lt;0,"VENCIDO",IF(I252&lt;=IF(G252="",7,G252),"VENCE EM BREVE","No prazo"))))</f>
        <v/>
      </c>
      <c r="K252" s="15">
        <f>IF(OR(D252="",F252="",F252="Única"),"",EDATE(D252,IF(F252="Mensal",1,IF(F252="Trimestral",3,IF(F252="Semestral",6,12)))))</f>
        <v/>
      </c>
      <c r="L252" s="14" t="n"/>
    </row>
    <row r="253">
      <c r="A253" s="14" t="n"/>
      <c r="B253" s="14" t="n"/>
      <c r="C253" s="14" t="n"/>
      <c r="D253" s="15" t="n"/>
      <c r="E253" s="16" t="n"/>
      <c r="F253" s="14" t="n"/>
      <c r="G253" s="17" t="n"/>
      <c r="H253" s="14" t="n"/>
      <c r="I253" s="17">
        <f>IF(OR(A253="",D253="",H253="Feito"),"",D253-TODAY())</f>
        <v/>
      </c>
      <c r="J253" s="14">
        <f>IF(OR(A253="",D253=""),"",IF(H253="Feito","FEITO",IF(I253&lt;0,"VENCIDO",IF(I253&lt;=IF(G253="",7,G253),"VENCE EM BREVE","No prazo"))))</f>
        <v/>
      </c>
      <c r="K253" s="15">
        <f>IF(OR(D253="",F253="",F253="Única"),"",EDATE(D253,IF(F253="Mensal",1,IF(F253="Trimestral",3,IF(F253="Semestral",6,12)))))</f>
        <v/>
      </c>
      <c r="L253" s="14" t="n"/>
    </row>
    <row r="254">
      <c r="A254" s="14" t="n"/>
      <c r="B254" s="14" t="n"/>
      <c r="C254" s="14" t="n"/>
      <c r="D254" s="15" t="n"/>
      <c r="E254" s="16" t="n"/>
      <c r="F254" s="14" t="n"/>
      <c r="G254" s="17" t="n"/>
      <c r="H254" s="14" t="n"/>
      <c r="I254" s="17">
        <f>IF(OR(A254="",D254="",H254="Feito"),"",D254-TODAY())</f>
        <v/>
      </c>
      <c r="J254" s="14">
        <f>IF(OR(A254="",D254=""),"",IF(H254="Feito","FEITO",IF(I254&lt;0,"VENCIDO",IF(I254&lt;=IF(G254="",7,G254),"VENCE EM BREVE","No prazo"))))</f>
        <v/>
      </c>
      <c r="K254" s="15">
        <f>IF(OR(D254="",F254="",F254="Única"),"",EDATE(D254,IF(F254="Mensal",1,IF(F254="Trimestral",3,IF(F254="Semestral",6,12)))))</f>
        <v/>
      </c>
      <c r="L254" s="14" t="n"/>
    </row>
    <row r="255">
      <c r="A255" s="14" t="n"/>
      <c r="B255" s="14" t="n"/>
      <c r="C255" s="14" t="n"/>
      <c r="D255" s="15" t="n"/>
      <c r="E255" s="16" t="n"/>
      <c r="F255" s="14" t="n"/>
      <c r="G255" s="17" t="n"/>
      <c r="H255" s="14" t="n"/>
      <c r="I255" s="17">
        <f>IF(OR(A255="",D255="",H255="Feito"),"",D255-TODAY())</f>
        <v/>
      </c>
      <c r="J255" s="14">
        <f>IF(OR(A255="",D255=""),"",IF(H255="Feito","FEITO",IF(I255&lt;0,"VENCIDO",IF(I255&lt;=IF(G255="",7,G255),"VENCE EM BREVE","No prazo"))))</f>
        <v/>
      </c>
      <c r="K255" s="15">
        <f>IF(OR(D255="",F255="",F255="Única"),"",EDATE(D255,IF(F255="Mensal",1,IF(F255="Trimestral",3,IF(F255="Semestral",6,12)))))</f>
        <v/>
      </c>
      <c r="L255" s="14" t="n"/>
    </row>
    <row r="256">
      <c r="A256" s="14" t="n"/>
      <c r="B256" s="14" t="n"/>
      <c r="C256" s="14" t="n"/>
      <c r="D256" s="15" t="n"/>
      <c r="E256" s="16" t="n"/>
      <c r="F256" s="14" t="n"/>
      <c r="G256" s="17" t="n"/>
      <c r="H256" s="14" t="n"/>
      <c r="I256" s="17">
        <f>IF(OR(A256="",D256="",H256="Feito"),"",D256-TODAY())</f>
        <v/>
      </c>
      <c r="J256" s="14">
        <f>IF(OR(A256="",D256=""),"",IF(H256="Feito","FEITO",IF(I256&lt;0,"VENCIDO",IF(I256&lt;=IF(G256="",7,G256),"VENCE EM BREVE","No prazo"))))</f>
        <v/>
      </c>
      <c r="K256" s="15">
        <f>IF(OR(D256="",F256="",F256="Única"),"",EDATE(D256,IF(F256="Mensal",1,IF(F256="Trimestral",3,IF(F256="Semestral",6,12)))))</f>
        <v/>
      </c>
      <c r="L256" s="14" t="n"/>
    </row>
    <row r="257">
      <c r="A257" s="14" t="n"/>
      <c r="B257" s="14" t="n"/>
      <c r="C257" s="14" t="n"/>
      <c r="D257" s="15" t="n"/>
      <c r="E257" s="16" t="n"/>
      <c r="F257" s="14" t="n"/>
      <c r="G257" s="17" t="n"/>
      <c r="H257" s="14" t="n"/>
      <c r="I257" s="17">
        <f>IF(OR(A257="",D257="",H257="Feito"),"",D257-TODAY())</f>
        <v/>
      </c>
      <c r="J257" s="14">
        <f>IF(OR(A257="",D257=""),"",IF(H257="Feito","FEITO",IF(I257&lt;0,"VENCIDO",IF(I257&lt;=IF(G257="",7,G257),"VENCE EM BREVE","No prazo"))))</f>
        <v/>
      </c>
      <c r="K257" s="15">
        <f>IF(OR(D257="",F257="",F257="Única"),"",EDATE(D257,IF(F257="Mensal",1,IF(F257="Trimestral",3,IF(F257="Semestral",6,12)))))</f>
        <v/>
      </c>
      <c r="L257" s="14" t="n"/>
    </row>
    <row r="258">
      <c r="A258" s="14" t="n"/>
      <c r="B258" s="14" t="n"/>
      <c r="C258" s="14" t="n"/>
      <c r="D258" s="15" t="n"/>
      <c r="E258" s="16" t="n"/>
      <c r="F258" s="14" t="n"/>
      <c r="G258" s="17" t="n"/>
      <c r="H258" s="14" t="n"/>
      <c r="I258" s="17">
        <f>IF(OR(A258="",D258="",H258="Feito"),"",D258-TODAY())</f>
        <v/>
      </c>
      <c r="J258" s="14">
        <f>IF(OR(A258="",D258=""),"",IF(H258="Feito","FEITO",IF(I258&lt;0,"VENCIDO",IF(I258&lt;=IF(G258="",7,G258),"VENCE EM BREVE","No prazo"))))</f>
        <v/>
      </c>
      <c r="K258" s="15">
        <f>IF(OR(D258="",F258="",F258="Única"),"",EDATE(D258,IF(F258="Mensal",1,IF(F258="Trimestral",3,IF(F258="Semestral",6,12)))))</f>
        <v/>
      </c>
      <c r="L258" s="14" t="n"/>
    </row>
    <row r="259">
      <c r="A259" s="14" t="n"/>
      <c r="B259" s="14" t="n"/>
      <c r="C259" s="14" t="n"/>
      <c r="D259" s="15" t="n"/>
      <c r="E259" s="16" t="n"/>
      <c r="F259" s="14" t="n"/>
      <c r="G259" s="17" t="n"/>
      <c r="H259" s="14" t="n"/>
      <c r="I259" s="17">
        <f>IF(OR(A259="",D259="",H259="Feito"),"",D259-TODAY())</f>
        <v/>
      </c>
      <c r="J259" s="14">
        <f>IF(OR(A259="",D259=""),"",IF(H259="Feito","FEITO",IF(I259&lt;0,"VENCIDO",IF(I259&lt;=IF(G259="",7,G259),"VENCE EM BREVE","No prazo"))))</f>
        <v/>
      </c>
      <c r="K259" s="15">
        <f>IF(OR(D259="",F259="",F259="Única"),"",EDATE(D259,IF(F259="Mensal",1,IF(F259="Trimestral",3,IF(F259="Semestral",6,12)))))</f>
        <v/>
      </c>
      <c r="L259" s="14" t="n"/>
    </row>
    <row r="260">
      <c r="A260" s="14" t="n"/>
      <c r="B260" s="14" t="n"/>
      <c r="C260" s="14" t="n"/>
      <c r="D260" s="15" t="n"/>
      <c r="E260" s="16" t="n"/>
      <c r="F260" s="14" t="n"/>
      <c r="G260" s="17" t="n"/>
      <c r="H260" s="14" t="n"/>
      <c r="I260" s="17">
        <f>IF(OR(A260="",D260="",H260="Feito"),"",D260-TODAY())</f>
        <v/>
      </c>
      <c r="J260" s="14">
        <f>IF(OR(A260="",D260=""),"",IF(H260="Feito","FEITO",IF(I260&lt;0,"VENCIDO",IF(I260&lt;=IF(G260="",7,G260),"VENCE EM BREVE","No prazo"))))</f>
        <v/>
      </c>
      <c r="K260" s="15">
        <f>IF(OR(D260="",F260="",F260="Única"),"",EDATE(D260,IF(F260="Mensal",1,IF(F260="Trimestral",3,IF(F260="Semestral",6,12)))))</f>
        <v/>
      </c>
      <c r="L260" s="14" t="n"/>
    </row>
    <row r="261">
      <c r="A261" s="14" t="n"/>
      <c r="B261" s="14" t="n"/>
      <c r="C261" s="14" t="n"/>
      <c r="D261" s="15" t="n"/>
      <c r="E261" s="16" t="n"/>
      <c r="F261" s="14" t="n"/>
      <c r="G261" s="17" t="n"/>
      <c r="H261" s="14" t="n"/>
      <c r="I261" s="17">
        <f>IF(OR(A261="",D261="",H261="Feito"),"",D261-TODAY())</f>
        <v/>
      </c>
      <c r="J261" s="14">
        <f>IF(OR(A261="",D261=""),"",IF(H261="Feito","FEITO",IF(I261&lt;0,"VENCIDO",IF(I261&lt;=IF(G261="",7,G261),"VENCE EM BREVE","No prazo"))))</f>
        <v/>
      </c>
      <c r="K261" s="15">
        <f>IF(OR(D261="",F261="",F261="Única"),"",EDATE(D261,IF(F261="Mensal",1,IF(F261="Trimestral",3,IF(F261="Semestral",6,12)))))</f>
        <v/>
      </c>
      <c r="L261" s="14" t="n"/>
    </row>
    <row r="262">
      <c r="A262" s="14" t="n"/>
      <c r="B262" s="14" t="n"/>
      <c r="C262" s="14" t="n"/>
      <c r="D262" s="15" t="n"/>
      <c r="E262" s="16" t="n"/>
      <c r="F262" s="14" t="n"/>
      <c r="G262" s="17" t="n"/>
      <c r="H262" s="14" t="n"/>
      <c r="I262" s="17">
        <f>IF(OR(A262="",D262="",H262="Feito"),"",D262-TODAY())</f>
        <v/>
      </c>
      <c r="J262" s="14">
        <f>IF(OR(A262="",D262=""),"",IF(H262="Feito","FEITO",IF(I262&lt;0,"VENCIDO",IF(I262&lt;=IF(G262="",7,G262),"VENCE EM BREVE","No prazo"))))</f>
        <v/>
      </c>
      <c r="K262" s="15">
        <f>IF(OR(D262="",F262="",F262="Única"),"",EDATE(D262,IF(F262="Mensal",1,IF(F262="Trimestral",3,IF(F262="Semestral",6,12)))))</f>
        <v/>
      </c>
      <c r="L262" s="14" t="n"/>
    </row>
    <row r="263">
      <c r="A263" s="14" t="n"/>
      <c r="B263" s="14" t="n"/>
      <c r="C263" s="14" t="n"/>
      <c r="D263" s="15" t="n"/>
      <c r="E263" s="16" t="n"/>
      <c r="F263" s="14" t="n"/>
      <c r="G263" s="17" t="n"/>
      <c r="H263" s="14" t="n"/>
      <c r="I263" s="17">
        <f>IF(OR(A263="",D263="",H263="Feito"),"",D263-TODAY())</f>
        <v/>
      </c>
      <c r="J263" s="14">
        <f>IF(OR(A263="",D263=""),"",IF(H263="Feito","FEITO",IF(I263&lt;0,"VENCIDO",IF(I263&lt;=IF(G263="",7,G263),"VENCE EM BREVE","No prazo"))))</f>
        <v/>
      </c>
      <c r="K263" s="15">
        <f>IF(OR(D263="",F263="",F263="Única"),"",EDATE(D263,IF(F263="Mensal",1,IF(F263="Trimestral",3,IF(F263="Semestral",6,12)))))</f>
        <v/>
      </c>
      <c r="L263" s="14" t="n"/>
    </row>
    <row r="264">
      <c r="A264" s="14" t="n"/>
      <c r="B264" s="14" t="n"/>
      <c r="C264" s="14" t="n"/>
      <c r="D264" s="15" t="n"/>
      <c r="E264" s="16" t="n"/>
      <c r="F264" s="14" t="n"/>
      <c r="G264" s="17" t="n"/>
      <c r="H264" s="14" t="n"/>
      <c r="I264" s="17">
        <f>IF(OR(A264="",D264="",H264="Feito"),"",D264-TODAY())</f>
        <v/>
      </c>
      <c r="J264" s="14">
        <f>IF(OR(A264="",D264=""),"",IF(H264="Feito","FEITO",IF(I264&lt;0,"VENCIDO",IF(I264&lt;=IF(G264="",7,G264),"VENCE EM BREVE","No prazo"))))</f>
        <v/>
      </c>
      <c r="K264" s="15">
        <f>IF(OR(D264="",F264="",F264="Única"),"",EDATE(D264,IF(F264="Mensal",1,IF(F264="Trimestral",3,IF(F264="Semestral",6,12)))))</f>
        <v/>
      </c>
      <c r="L264" s="14" t="n"/>
    </row>
    <row r="265">
      <c r="A265" s="14" t="n"/>
      <c r="B265" s="14" t="n"/>
      <c r="C265" s="14" t="n"/>
      <c r="D265" s="15" t="n"/>
      <c r="E265" s="16" t="n"/>
      <c r="F265" s="14" t="n"/>
      <c r="G265" s="17" t="n"/>
      <c r="H265" s="14" t="n"/>
      <c r="I265" s="17">
        <f>IF(OR(A265="",D265="",H265="Feito"),"",D265-TODAY())</f>
        <v/>
      </c>
      <c r="J265" s="14">
        <f>IF(OR(A265="",D265=""),"",IF(H265="Feito","FEITO",IF(I265&lt;0,"VENCIDO",IF(I265&lt;=IF(G265="",7,G265),"VENCE EM BREVE","No prazo"))))</f>
        <v/>
      </c>
      <c r="K265" s="15">
        <f>IF(OR(D265="",F265="",F265="Única"),"",EDATE(D265,IF(F265="Mensal",1,IF(F265="Trimestral",3,IF(F265="Semestral",6,12)))))</f>
        <v/>
      </c>
      <c r="L265" s="14" t="n"/>
    </row>
    <row r="266">
      <c r="A266" s="14" t="n"/>
      <c r="B266" s="14" t="n"/>
      <c r="C266" s="14" t="n"/>
      <c r="D266" s="15" t="n"/>
      <c r="E266" s="16" t="n"/>
      <c r="F266" s="14" t="n"/>
      <c r="G266" s="17" t="n"/>
      <c r="H266" s="14" t="n"/>
      <c r="I266" s="17">
        <f>IF(OR(A266="",D266="",H266="Feito"),"",D266-TODAY())</f>
        <v/>
      </c>
      <c r="J266" s="14">
        <f>IF(OR(A266="",D266=""),"",IF(H266="Feito","FEITO",IF(I266&lt;0,"VENCIDO",IF(I266&lt;=IF(G266="",7,G266),"VENCE EM BREVE","No prazo"))))</f>
        <v/>
      </c>
      <c r="K266" s="15">
        <f>IF(OR(D266="",F266="",F266="Única"),"",EDATE(D266,IF(F266="Mensal",1,IF(F266="Trimestral",3,IF(F266="Semestral",6,12)))))</f>
        <v/>
      </c>
      <c r="L266" s="14" t="n"/>
    </row>
    <row r="267">
      <c r="A267" s="14" t="n"/>
      <c r="B267" s="14" t="n"/>
      <c r="C267" s="14" t="n"/>
      <c r="D267" s="15" t="n"/>
      <c r="E267" s="16" t="n"/>
      <c r="F267" s="14" t="n"/>
      <c r="G267" s="17" t="n"/>
      <c r="H267" s="14" t="n"/>
      <c r="I267" s="17">
        <f>IF(OR(A267="",D267="",H267="Feito"),"",D267-TODAY())</f>
        <v/>
      </c>
      <c r="J267" s="14">
        <f>IF(OR(A267="",D267=""),"",IF(H267="Feito","FEITO",IF(I267&lt;0,"VENCIDO",IF(I267&lt;=IF(G267="",7,G267),"VENCE EM BREVE","No prazo"))))</f>
        <v/>
      </c>
      <c r="K267" s="15">
        <f>IF(OR(D267="",F267="",F267="Única"),"",EDATE(D267,IF(F267="Mensal",1,IF(F267="Trimestral",3,IF(F267="Semestral",6,12)))))</f>
        <v/>
      </c>
      <c r="L267" s="14" t="n"/>
    </row>
    <row r="268">
      <c r="A268" s="14" t="n"/>
      <c r="B268" s="14" t="n"/>
      <c r="C268" s="14" t="n"/>
      <c r="D268" s="15" t="n"/>
      <c r="E268" s="16" t="n"/>
      <c r="F268" s="14" t="n"/>
      <c r="G268" s="17" t="n"/>
      <c r="H268" s="14" t="n"/>
      <c r="I268" s="17">
        <f>IF(OR(A268="",D268="",H268="Feito"),"",D268-TODAY())</f>
        <v/>
      </c>
      <c r="J268" s="14">
        <f>IF(OR(A268="",D268=""),"",IF(H268="Feito","FEITO",IF(I268&lt;0,"VENCIDO",IF(I268&lt;=IF(G268="",7,G268),"VENCE EM BREVE","No prazo"))))</f>
        <v/>
      </c>
      <c r="K268" s="15">
        <f>IF(OR(D268="",F268="",F268="Única"),"",EDATE(D268,IF(F268="Mensal",1,IF(F268="Trimestral",3,IF(F268="Semestral",6,12)))))</f>
        <v/>
      </c>
      <c r="L268" s="14" t="n"/>
    </row>
    <row r="269">
      <c r="A269" s="14" t="n"/>
      <c r="B269" s="14" t="n"/>
      <c r="C269" s="14" t="n"/>
      <c r="D269" s="15" t="n"/>
      <c r="E269" s="16" t="n"/>
      <c r="F269" s="14" t="n"/>
      <c r="G269" s="17" t="n"/>
      <c r="H269" s="14" t="n"/>
      <c r="I269" s="17">
        <f>IF(OR(A269="",D269="",H269="Feito"),"",D269-TODAY())</f>
        <v/>
      </c>
      <c r="J269" s="14">
        <f>IF(OR(A269="",D269=""),"",IF(H269="Feito","FEITO",IF(I269&lt;0,"VENCIDO",IF(I269&lt;=IF(G269="",7,G269),"VENCE EM BREVE","No prazo"))))</f>
        <v/>
      </c>
      <c r="K269" s="15">
        <f>IF(OR(D269="",F269="",F269="Única"),"",EDATE(D269,IF(F269="Mensal",1,IF(F269="Trimestral",3,IF(F269="Semestral",6,12)))))</f>
        <v/>
      </c>
      <c r="L269" s="14" t="n"/>
    </row>
    <row r="270">
      <c r="A270" s="14" t="n"/>
      <c r="B270" s="14" t="n"/>
      <c r="C270" s="14" t="n"/>
      <c r="D270" s="15" t="n"/>
      <c r="E270" s="16" t="n"/>
      <c r="F270" s="14" t="n"/>
      <c r="G270" s="17" t="n"/>
      <c r="H270" s="14" t="n"/>
      <c r="I270" s="17">
        <f>IF(OR(A270="",D270="",H270="Feito"),"",D270-TODAY())</f>
        <v/>
      </c>
      <c r="J270" s="14">
        <f>IF(OR(A270="",D270=""),"",IF(H270="Feito","FEITO",IF(I270&lt;0,"VENCIDO",IF(I270&lt;=IF(G270="",7,G270),"VENCE EM BREVE","No prazo"))))</f>
        <v/>
      </c>
      <c r="K270" s="15">
        <f>IF(OR(D270="",F270="",F270="Única"),"",EDATE(D270,IF(F270="Mensal",1,IF(F270="Trimestral",3,IF(F270="Semestral",6,12)))))</f>
        <v/>
      </c>
      <c r="L270" s="14" t="n"/>
    </row>
    <row r="271">
      <c r="A271" s="14" t="n"/>
      <c r="B271" s="14" t="n"/>
      <c r="C271" s="14" t="n"/>
      <c r="D271" s="15" t="n"/>
      <c r="E271" s="16" t="n"/>
      <c r="F271" s="14" t="n"/>
      <c r="G271" s="17" t="n"/>
      <c r="H271" s="14" t="n"/>
      <c r="I271" s="17">
        <f>IF(OR(A271="",D271="",H271="Feito"),"",D271-TODAY())</f>
        <v/>
      </c>
      <c r="J271" s="14">
        <f>IF(OR(A271="",D271=""),"",IF(H271="Feito","FEITO",IF(I271&lt;0,"VENCIDO",IF(I271&lt;=IF(G271="",7,G271),"VENCE EM BREVE","No prazo"))))</f>
        <v/>
      </c>
      <c r="K271" s="15">
        <f>IF(OR(D271="",F271="",F271="Única"),"",EDATE(D271,IF(F271="Mensal",1,IF(F271="Trimestral",3,IF(F271="Semestral",6,12)))))</f>
        <v/>
      </c>
      <c r="L271" s="14" t="n"/>
    </row>
    <row r="272">
      <c r="A272" s="14" t="n"/>
      <c r="B272" s="14" t="n"/>
      <c r="C272" s="14" t="n"/>
      <c r="D272" s="15" t="n"/>
      <c r="E272" s="16" t="n"/>
      <c r="F272" s="14" t="n"/>
      <c r="G272" s="17" t="n"/>
      <c r="H272" s="14" t="n"/>
      <c r="I272" s="17">
        <f>IF(OR(A272="",D272="",H272="Feito"),"",D272-TODAY())</f>
        <v/>
      </c>
      <c r="J272" s="14">
        <f>IF(OR(A272="",D272=""),"",IF(H272="Feito","FEITO",IF(I272&lt;0,"VENCIDO",IF(I272&lt;=IF(G272="",7,G272),"VENCE EM BREVE","No prazo"))))</f>
        <v/>
      </c>
      <c r="K272" s="15">
        <f>IF(OR(D272="",F272="",F272="Única"),"",EDATE(D272,IF(F272="Mensal",1,IF(F272="Trimestral",3,IF(F272="Semestral",6,12)))))</f>
        <v/>
      </c>
      <c r="L272" s="14" t="n"/>
    </row>
    <row r="273">
      <c r="A273" s="14" t="n"/>
      <c r="B273" s="14" t="n"/>
      <c r="C273" s="14" t="n"/>
      <c r="D273" s="15" t="n"/>
      <c r="E273" s="16" t="n"/>
      <c r="F273" s="14" t="n"/>
      <c r="G273" s="17" t="n"/>
      <c r="H273" s="14" t="n"/>
      <c r="I273" s="17">
        <f>IF(OR(A273="",D273="",H273="Feito"),"",D273-TODAY())</f>
        <v/>
      </c>
      <c r="J273" s="14">
        <f>IF(OR(A273="",D273=""),"",IF(H273="Feito","FEITO",IF(I273&lt;0,"VENCIDO",IF(I273&lt;=IF(G273="",7,G273),"VENCE EM BREVE","No prazo"))))</f>
        <v/>
      </c>
      <c r="K273" s="15">
        <f>IF(OR(D273="",F273="",F273="Única"),"",EDATE(D273,IF(F273="Mensal",1,IF(F273="Trimestral",3,IF(F273="Semestral",6,12)))))</f>
        <v/>
      </c>
      <c r="L273" s="14" t="n"/>
    </row>
    <row r="274">
      <c r="A274" s="14" t="n"/>
      <c r="B274" s="14" t="n"/>
      <c r="C274" s="14" t="n"/>
      <c r="D274" s="15" t="n"/>
      <c r="E274" s="16" t="n"/>
      <c r="F274" s="14" t="n"/>
      <c r="G274" s="17" t="n"/>
      <c r="H274" s="14" t="n"/>
      <c r="I274" s="17">
        <f>IF(OR(A274="",D274="",H274="Feito"),"",D274-TODAY())</f>
        <v/>
      </c>
      <c r="J274" s="14">
        <f>IF(OR(A274="",D274=""),"",IF(H274="Feito","FEITO",IF(I274&lt;0,"VENCIDO",IF(I274&lt;=IF(G274="",7,G274),"VENCE EM BREVE","No prazo"))))</f>
        <v/>
      </c>
      <c r="K274" s="15">
        <f>IF(OR(D274="",F274="",F274="Única"),"",EDATE(D274,IF(F274="Mensal",1,IF(F274="Trimestral",3,IF(F274="Semestral",6,12)))))</f>
        <v/>
      </c>
      <c r="L274" s="14" t="n"/>
    </row>
    <row r="275">
      <c r="A275" s="14" t="n"/>
      <c r="B275" s="14" t="n"/>
      <c r="C275" s="14" t="n"/>
      <c r="D275" s="15" t="n"/>
      <c r="E275" s="16" t="n"/>
      <c r="F275" s="14" t="n"/>
      <c r="G275" s="17" t="n"/>
      <c r="H275" s="14" t="n"/>
      <c r="I275" s="17">
        <f>IF(OR(A275="",D275="",H275="Feito"),"",D275-TODAY())</f>
        <v/>
      </c>
      <c r="J275" s="14">
        <f>IF(OR(A275="",D275=""),"",IF(H275="Feito","FEITO",IF(I275&lt;0,"VENCIDO",IF(I275&lt;=IF(G275="",7,G275),"VENCE EM BREVE","No prazo"))))</f>
        <v/>
      </c>
      <c r="K275" s="15">
        <f>IF(OR(D275="",F275="",F275="Única"),"",EDATE(D275,IF(F275="Mensal",1,IF(F275="Trimestral",3,IF(F275="Semestral",6,12)))))</f>
        <v/>
      </c>
      <c r="L275" s="14" t="n"/>
    </row>
    <row r="276">
      <c r="A276" s="14" t="n"/>
      <c r="B276" s="14" t="n"/>
      <c r="C276" s="14" t="n"/>
      <c r="D276" s="15" t="n"/>
      <c r="E276" s="16" t="n"/>
      <c r="F276" s="14" t="n"/>
      <c r="G276" s="17" t="n"/>
      <c r="H276" s="14" t="n"/>
      <c r="I276" s="17">
        <f>IF(OR(A276="",D276="",H276="Feito"),"",D276-TODAY())</f>
        <v/>
      </c>
      <c r="J276" s="14">
        <f>IF(OR(A276="",D276=""),"",IF(H276="Feito","FEITO",IF(I276&lt;0,"VENCIDO",IF(I276&lt;=IF(G276="",7,G276),"VENCE EM BREVE","No prazo"))))</f>
        <v/>
      </c>
      <c r="K276" s="15">
        <f>IF(OR(D276="",F276="",F276="Única"),"",EDATE(D276,IF(F276="Mensal",1,IF(F276="Trimestral",3,IF(F276="Semestral",6,12)))))</f>
        <v/>
      </c>
      <c r="L276" s="14" t="n"/>
    </row>
    <row r="277">
      <c r="A277" s="14" t="n"/>
      <c r="B277" s="14" t="n"/>
      <c r="C277" s="14" t="n"/>
      <c r="D277" s="15" t="n"/>
      <c r="E277" s="16" t="n"/>
      <c r="F277" s="14" t="n"/>
      <c r="G277" s="17" t="n"/>
      <c r="H277" s="14" t="n"/>
      <c r="I277" s="17">
        <f>IF(OR(A277="",D277="",H277="Feito"),"",D277-TODAY())</f>
        <v/>
      </c>
      <c r="J277" s="14">
        <f>IF(OR(A277="",D277=""),"",IF(H277="Feito","FEITO",IF(I277&lt;0,"VENCIDO",IF(I277&lt;=IF(G277="",7,G277),"VENCE EM BREVE","No prazo"))))</f>
        <v/>
      </c>
      <c r="K277" s="15">
        <f>IF(OR(D277="",F277="",F277="Única"),"",EDATE(D277,IF(F277="Mensal",1,IF(F277="Trimestral",3,IF(F277="Semestral",6,12)))))</f>
        <v/>
      </c>
      <c r="L277" s="14" t="n"/>
    </row>
    <row r="278">
      <c r="A278" s="14" t="n"/>
      <c r="B278" s="14" t="n"/>
      <c r="C278" s="14" t="n"/>
      <c r="D278" s="15" t="n"/>
      <c r="E278" s="16" t="n"/>
      <c r="F278" s="14" t="n"/>
      <c r="G278" s="17" t="n"/>
      <c r="H278" s="14" t="n"/>
      <c r="I278" s="17">
        <f>IF(OR(A278="",D278="",H278="Feito"),"",D278-TODAY())</f>
        <v/>
      </c>
      <c r="J278" s="14">
        <f>IF(OR(A278="",D278=""),"",IF(H278="Feito","FEITO",IF(I278&lt;0,"VENCIDO",IF(I278&lt;=IF(G278="",7,G278),"VENCE EM BREVE","No prazo"))))</f>
        <v/>
      </c>
      <c r="K278" s="15">
        <f>IF(OR(D278="",F278="",F278="Única"),"",EDATE(D278,IF(F278="Mensal",1,IF(F278="Trimestral",3,IF(F278="Semestral",6,12)))))</f>
        <v/>
      </c>
      <c r="L278" s="14" t="n"/>
    </row>
    <row r="279">
      <c r="A279" s="14" t="n"/>
      <c r="B279" s="14" t="n"/>
      <c r="C279" s="14" t="n"/>
      <c r="D279" s="15" t="n"/>
      <c r="E279" s="16" t="n"/>
      <c r="F279" s="14" t="n"/>
      <c r="G279" s="17" t="n"/>
      <c r="H279" s="14" t="n"/>
      <c r="I279" s="17">
        <f>IF(OR(A279="",D279="",H279="Feito"),"",D279-TODAY())</f>
        <v/>
      </c>
      <c r="J279" s="14">
        <f>IF(OR(A279="",D279=""),"",IF(H279="Feito","FEITO",IF(I279&lt;0,"VENCIDO",IF(I279&lt;=IF(G279="",7,G279),"VENCE EM BREVE","No prazo"))))</f>
        <v/>
      </c>
      <c r="K279" s="15">
        <f>IF(OR(D279="",F279="",F279="Única"),"",EDATE(D279,IF(F279="Mensal",1,IF(F279="Trimestral",3,IF(F279="Semestral",6,12)))))</f>
        <v/>
      </c>
      <c r="L279" s="14" t="n"/>
    </row>
    <row r="280">
      <c r="A280" s="14" t="n"/>
      <c r="B280" s="14" t="n"/>
      <c r="C280" s="14" t="n"/>
      <c r="D280" s="15" t="n"/>
      <c r="E280" s="16" t="n"/>
      <c r="F280" s="14" t="n"/>
      <c r="G280" s="17" t="n"/>
      <c r="H280" s="14" t="n"/>
      <c r="I280" s="17">
        <f>IF(OR(A280="",D280="",H280="Feito"),"",D280-TODAY())</f>
        <v/>
      </c>
      <c r="J280" s="14">
        <f>IF(OR(A280="",D280=""),"",IF(H280="Feito","FEITO",IF(I280&lt;0,"VENCIDO",IF(I280&lt;=IF(G280="",7,G280),"VENCE EM BREVE","No prazo"))))</f>
        <v/>
      </c>
      <c r="K280" s="15">
        <f>IF(OR(D280="",F280="",F280="Única"),"",EDATE(D280,IF(F280="Mensal",1,IF(F280="Trimestral",3,IF(F280="Semestral",6,12)))))</f>
        <v/>
      </c>
      <c r="L280" s="14" t="n"/>
    </row>
    <row r="281">
      <c r="A281" s="14" t="n"/>
      <c r="B281" s="14" t="n"/>
      <c r="C281" s="14" t="n"/>
      <c r="D281" s="15" t="n"/>
      <c r="E281" s="16" t="n"/>
      <c r="F281" s="14" t="n"/>
      <c r="G281" s="17" t="n"/>
      <c r="H281" s="14" t="n"/>
      <c r="I281" s="17">
        <f>IF(OR(A281="",D281="",H281="Feito"),"",D281-TODAY())</f>
        <v/>
      </c>
      <c r="J281" s="14">
        <f>IF(OR(A281="",D281=""),"",IF(H281="Feito","FEITO",IF(I281&lt;0,"VENCIDO",IF(I281&lt;=IF(G281="",7,G281),"VENCE EM BREVE","No prazo"))))</f>
        <v/>
      </c>
      <c r="K281" s="15">
        <f>IF(OR(D281="",F281="",F281="Única"),"",EDATE(D281,IF(F281="Mensal",1,IF(F281="Trimestral",3,IF(F281="Semestral",6,12)))))</f>
        <v/>
      </c>
      <c r="L281" s="14" t="n"/>
    </row>
    <row r="282">
      <c r="A282" s="14" t="n"/>
      <c r="B282" s="14" t="n"/>
      <c r="C282" s="14" t="n"/>
      <c r="D282" s="15" t="n"/>
      <c r="E282" s="16" t="n"/>
      <c r="F282" s="14" t="n"/>
      <c r="G282" s="17" t="n"/>
      <c r="H282" s="14" t="n"/>
      <c r="I282" s="17">
        <f>IF(OR(A282="",D282="",H282="Feito"),"",D282-TODAY())</f>
        <v/>
      </c>
      <c r="J282" s="14">
        <f>IF(OR(A282="",D282=""),"",IF(H282="Feito","FEITO",IF(I282&lt;0,"VENCIDO",IF(I282&lt;=IF(G282="",7,G282),"VENCE EM BREVE","No prazo"))))</f>
        <v/>
      </c>
      <c r="K282" s="15">
        <f>IF(OR(D282="",F282="",F282="Única"),"",EDATE(D282,IF(F282="Mensal",1,IF(F282="Trimestral",3,IF(F282="Semestral",6,12)))))</f>
        <v/>
      </c>
      <c r="L282" s="14" t="n"/>
    </row>
    <row r="283">
      <c r="A283" s="14" t="n"/>
      <c r="B283" s="14" t="n"/>
      <c r="C283" s="14" t="n"/>
      <c r="D283" s="15" t="n"/>
      <c r="E283" s="16" t="n"/>
      <c r="F283" s="14" t="n"/>
      <c r="G283" s="17" t="n"/>
      <c r="H283" s="14" t="n"/>
      <c r="I283" s="17">
        <f>IF(OR(A283="",D283="",H283="Feito"),"",D283-TODAY())</f>
        <v/>
      </c>
      <c r="J283" s="14">
        <f>IF(OR(A283="",D283=""),"",IF(H283="Feito","FEITO",IF(I283&lt;0,"VENCIDO",IF(I283&lt;=IF(G283="",7,G283),"VENCE EM BREVE","No prazo"))))</f>
        <v/>
      </c>
      <c r="K283" s="15">
        <f>IF(OR(D283="",F283="",F283="Única"),"",EDATE(D283,IF(F283="Mensal",1,IF(F283="Trimestral",3,IF(F283="Semestral",6,12)))))</f>
        <v/>
      </c>
      <c r="L283" s="14" t="n"/>
    </row>
    <row r="284">
      <c r="A284" s="14" t="n"/>
      <c r="B284" s="14" t="n"/>
      <c r="C284" s="14" t="n"/>
      <c r="D284" s="15" t="n"/>
      <c r="E284" s="16" t="n"/>
      <c r="F284" s="14" t="n"/>
      <c r="G284" s="17" t="n"/>
      <c r="H284" s="14" t="n"/>
      <c r="I284" s="17">
        <f>IF(OR(A284="",D284="",H284="Feito"),"",D284-TODAY())</f>
        <v/>
      </c>
      <c r="J284" s="14">
        <f>IF(OR(A284="",D284=""),"",IF(H284="Feito","FEITO",IF(I284&lt;0,"VENCIDO",IF(I284&lt;=IF(G284="",7,G284),"VENCE EM BREVE","No prazo"))))</f>
        <v/>
      </c>
      <c r="K284" s="15">
        <f>IF(OR(D284="",F284="",F284="Única"),"",EDATE(D284,IF(F284="Mensal",1,IF(F284="Trimestral",3,IF(F284="Semestral",6,12)))))</f>
        <v/>
      </c>
      <c r="L284" s="14" t="n"/>
    </row>
    <row r="285">
      <c r="A285" s="14" t="n"/>
      <c r="B285" s="14" t="n"/>
      <c r="C285" s="14" t="n"/>
      <c r="D285" s="15" t="n"/>
      <c r="E285" s="16" t="n"/>
      <c r="F285" s="14" t="n"/>
      <c r="G285" s="17" t="n"/>
      <c r="H285" s="14" t="n"/>
      <c r="I285" s="17">
        <f>IF(OR(A285="",D285="",H285="Feito"),"",D285-TODAY())</f>
        <v/>
      </c>
      <c r="J285" s="14">
        <f>IF(OR(A285="",D285=""),"",IF(H285="Feito","FEITO",IF(I285&lt;0,"VENCIDO",IF(I285&lt;=IF(G285="",7,G285),"VENCE EM BREVE","No prazo"))))</f>
        <v/>
      </c>
      <c r="K285" s="15">
        <f>IF(OR(D285="",F285="",F285="Única"),"",EDATE(D285,IF(F285="Mensal",1,IF(F285="Trimestral",3,IF(F285="Semestral",6,12)))))</f>
        <v/>
      </c>
      <c r="L285" s="14" t="n"/>
    </row>
    <row r="286">
      <c r="A286" s="14" t="n"/>
      <c r="B286" s="14" t="n"/>
      <c r="C286" s="14" t="n"/>
      <c r="D286" s="15" t="n"/>
      <c r="E286" s="16" t="n"/>
      <c r="F286" s="14" t="n"/>
      <c r="G286" s="17" t="n"/>
      <c r="H286" s="14" t="n"/>
      <c r="I286" s="17">
        <f>IF(OR(A286="",D286="",H286="Feito"),"",D286-TODAY())</f>
        <v/>
      </c>
      <c r="J286" s="14">
        <f>IF(OR(A286="",D286=""),"",IF(H286="Feito","FEITO",IF(I286&lt;0,"VENCIDO",IF(I286&lt;=IF(G286="",7,G286),"VENCE EM BREVE","No prazo"))))</f>
        <v/>
      </c>
      <c r="K286" s="15">
        <f>IF(OR(D286="",F286="",F286="Única"),"",EDATE(D286,IF(F286="Mensal",1,IF(F286="Trimestral",3,IF(F286="Semestral",6,12)))))</f>
        <v/>
      </c>
      <c r="L286" s="14" t="n"/>
    </row>
    <row r="287">
      <c r="A287" s="14" t="n"/>
      <c r="B287" s="14" t="n"/>
      <c r="C287" s="14" t="n"/>
      <c r="D287" s="15" t="n"/>
      <c r="E287" s="16" t="n"/>
      <c r="F287" s="14" t="n"/>
      <c r="G287" s="17" t="n"/>
      <c r="H287" s="14" t="n"/>
      <c r="I287" s="17">
        <f>IF(OR(A287="",D287="",H287="Feito"),"",D287-TODAY())</f>
        <v/>
      </c>
      <c r="J287" s="14">
        <f>IF(OR(A287="",D287=""),"",IF(H287="Feito","FEITO",IF(I287&lt;0,"VENCIDO",IF(I287&lt;=IF(G287="",7,G287),"VENCE EM BREVE","No prazo"))))</f>
        <v/>
      </c>
      <c r="K287" s="15">
        <f>IF(OR(D287="",F287="",F287="Única"),"",EDATE(D287,IF(F287="Mensal",1,IF(F287="Trimestral",3,IF(F287="Semestral",6,12)))))</f>
        <v/>
      </c>
      <c r="L287" s="14" t="n"/>
    </row>
    <row r="288">
      <c r="A288" s="14" t="n"/>
      <c r="B288" s="14" t="n"/>
      <c r="C288" s="14" t="n"/>
      <c r="D288" s="15" t="n"/>
      <c r="E288" s="16" t="n"/>
      <c r="F288" s="14" t="n"/>
      <c r="G288" s="17" t="n"/>
      <c r="H288" s="14" t="n"/>
      <c r="I288" s="17">
        <f>IF(OR(A288="",D288="",H288="Feito"),"",D288-TODAY())</f>
        <v/>
      </c>
      <c r="J288" s="14">
        <f>IF(OR(A288="",D288=""),"",IF(H288="Feito","FEITO",IF(I288&lt;0,"VENCIDO",IF(I288&lt;=IF(G288="",7,G288),"VENCE EM BREVE","No prazo"))))</f>
        <v/>
      </c>
      <c r="K288" s="15">
        <f>IF(OR(D288="",F288="",F288="Única"),"",EDATE(D288,IF(F288="Mensal",1,IF(F288="Trimestral",3,IF(F288="Semestral",6,12)))))</f>
        <v/>
      </c>
      <c r="L288" s="14" t="n"/>
    </row>
    <row r="289">
      <c r="A289" s="14" t="n"/>
      <c r="B289" s="14" t="n"/>
      <c r="C289" s="14" t="n"/>
      <c r="D289" s="15" t="n"/>
      <c r="E289" s="16" t="n"/>
      <c r="F289" s="14" t="n"/>
      <c r="G289" s="17" t="n"/>
      <c r="H289" s="14" t="n"/>
      <c r="I289" s="17">
        <f>IF(OR(A289="",D289="",H289="Feito"),"",D289-TODAY())</f>
        <v/>
      </c>
      <c r="J289" s="14">
        <f>IF(OR(A289="",D289=""),"",IF(H289="Feito","FEITO",IF(I289&lt;0,"VENCIDO",IF(I289&lt;=IF(G289="",7,G289),"VENCE EM BREVE","No prazo"))))</f>
        <v/>
      </c>
      <c r="K289" s="15">
        <f>IF(OR(D289="",F289="",F289="Única"),"",EDATE(D289,IF(F289="Mensal",1,IF(F289="Trimestral",3,IF(F289="Semestral",6,12)))))</f>
        <v/>
      </c>
      <c r="L289" s="14" t="n"/>
    </row>
    <row r="290">
      <c r="A290" s="14" t="n"/>
      <c r="B290" s="14" t="n"/>
      <c r="C290" s="14" t="n"/>
      <c r="D290" s="15" t="n"/>
      <c r="E290" s="16" t="n"/>
      <c r="F290" s="14" t="n"/>
      <c r="G290" s="17" t="n"/>
      <c r="H290" s="14" t="n"/>
      <c r="I290" s="17">
        <f>IF(OR(A290="",D290="",H290="Feito"),"",D290-TODAY())</f>
        <v/>
      </c>
      <c r="J290" s="14">
        <f>IF(OR(A290="",D290=""),"",IF(H290="Feito","FEITO",IF(I290&lt;0,"VENCIDO",IF(I290&lt;=IF(G290="",7,G290),"VENCE EM BREVE","No prazo"))))</f>
        <v/>
      </c>
      <c r="K290" s="15">
        <f>IF(OR(D290="",F290="",F290="Única"),"",EDATE(D290,IF(F290="Mensal",1,IF(F290="Trimestral",3,IF(F290="Semestral",6,12)))))</f>
        <v/>
      </c>
      <c r="L290" s="14" t="n"/>
    </row>
    <row r="291">
      <c r="A291" s="14" t="n"/>
      <c r="B291" s="14" t="n"/>
      <c r="C291" s="14" t="n"/>
      <c r="D291" s="15" t="n"/>
      <c r="E291" s="16" t="n"/>
      <c r="F291" s="14" t="n"/>
      <c r="G291" s="17" t="n"/>
      <c r="H291" s="14" t="n"/>
      <c r="I291" s="17">
        <f>IF(OR(A291="",D291="",H291="Feito"),"",D291-TODAY())</f>
        <v/>
      </c>
      <c r="J291" s="14">
        <f>IF(OR(A291="",D291=""),"",IF(H291="Feito","FEITO",IF(I291&lt;0,"VENCIDO",IF(I291&lt;=IF(G291="",7,G291),"VENCE EM BREVE","No prazo"))))</f>
        <v/>
      </c>
      <c r="K291" s="15">
        <f>IF(OR(D291="",F291="",F291="Única"),"",EDATE(D291,IF(F291="Mensal",1,IF(F291="Trimestral",3,IF(F291="Semestral",6,12)))))</f>
        <v/>
      </c>
      <c r="L291" s="14" t="n"/>
    </row>
    <row r="292">
      <c r="A292" s="14" t="n"/>
      <c r="B292" s="14" t="n"/>
      <c r="C292" s="14" t="n"/>
      <c r="D292" s="15" t="n"/>
      <c r="E292" s="16" t="n"/>
      <c r="F292" s="14" t="n"/>
      <c r="G292" s="17" t="n"/>
      <c r="H292" s="14" t="n"/>
      <c r="I292" s="17">
        <f>IF(OR(A292="",D292="",H292="Feito"),"",D292-TODAY())</f>
        <v/>
      </c>
      <c r="J292" s="14">
        <f>IF(OR(A292="",D292=""),"",IF(H292="Feito","FEITO",IF(I292&lt;0,"VENCIDO",IF(I292&lt;=IF(G292="",7,G292),"VENCE EM BREVE","No prazo"))))</f>
        <v/>
      </c>
      <c r="K292" s="15">
        <f>IF(OR(D292="",F292="",F292="Única"),"",EDATE(D292,IF(F292="Mensal",1,IF(F292="Trimestral",3,IF(F292="Semestral",6,12)))))</f>
        <v/>
      </c>
      <c r="L292" s="14" t="n"/>
    </row>
    <row r="293">
      <c r="A293" s="14" t="n"/>
      <c r="B293" s="14" t="n"/>
      <c r="C293" s="14" t="n"/>
      <c r="D293" s="15" t="n"/>
      <c r="E293" s="16" t="n"/>
      <c r="F293" s="14" t="n"/>
      <c r="G293" s="17" t="n"/>
      <c r="H293" s="14" t="n"/>
      <c r="I293" s="17">
        <f>IF(OR(A293="",D293="",H293="Feito"),"",D293-TODAY())</f>
        <v/>
      </c>
      <c r="J293" s="14">
        <f>IF(OR(A293="",D293=""),"",IF(H293="Feito","FEITO",IF(I293&lt;0,"VENCIDO",IF(I293&lt;=IF(G293="",7,G293),"VENCE EM BREVE","No prazo"))))</f>
        <v/>
      </c>
      <c r="K293" s="15">
        <f>IF(OR(D293="",F293="",F293="Única"),"",EDATE(D293,IF(F293="Mensal",1,IF(F293="Trimestral",3,IF(F293="Semestral",6,12)))))</f>
        <v/>
      </c>
      <c r="L293" s="14" t="n"/>
    </row>
    <row r="294">
      <c r="A294" s="14" t="n"/>
      <c r="B294" s="14" t="n"/>
      <c r="C294" s="14" t="n"/>
      <c r="D294" s="15" t="n"/>
      <c r="E294" s="16" t="n"/>
      <c r="F294" s="14" t="n"/>
      <c r="G294" s="17" t="n"/>
      <c r="H294" s="14" t="n"/>
      <c r="I294" s="17">
        <f>IF(OR(A294="",D294="",H294="Feito"),"",D294-TODAY())</f>
        <v/>
      </c>
      <c r="J294" s="14">
        <f>IF(OR(A294="",D294=""),"",IF(H294="Feito","FEITO",IF(I294&lt;0,"VENCIDO",IF(I294&lt;=IF(G294="",7,G294),"VENCE EM BREVE","No prazo"))))</f>
        <v/>
      </c>
      <c r="K294" s="15">
        <f>IF(OR(D294="",F294="",F294="Única"),"",EDATE(D294,IF(F294="Mensal",1,IF(F294="Trimestral",3,IF(F294="Semestral",6,12)))))</f>
        <v/>
      </c>
      <c r="L294" s="14" t="n"/>
    </row>
    <row r="295">
      <c r="A295" s="14" t="n"/>
      <c r="B295" s="14" t="n"/>
      <c r="C295" s="14" t="n"/>
      <c r="D295" s="15" t="n"/>
      <c r="E295" s="16" t="n"/>
      <c r="F295" s="14" t="n"/>
      <c r="G295" s="17" t="n"/>
      <c r="H295" s="14" t="n"/>
      <c r="I295" s="17">
        <f>IF(OR(A295="",D295="",H295="Feito"),"",D295-TODAY())</f>
        <v/>
      </c>
      <c r="J295" s="14">
        <f>IF(OR(A295="",D295=""),"",IF(H295="Feito","FEITO",IF(I295&lt;0,"VENCIDO",IF(I295&lt;=IF(G295="",7,G295),"VENCE EM BREVE","No prazo"))))</f>
        <v/>
      </c>
      <c r="K295" s="15">
        <f>IF(OR(D295="",F295="",F295="Única"),"",EDATE(D295,IF(F295="Mensal",1,IF(F295="Trimestral",3,IF(F295="Semestral",6,12)))))</f>
        <v/>
      </c>
      <c r="L295" s="14" t="n"/>
    </row>
    <row r="296">
      <c r="A296" s="14" t="n"/>
      <c r="B296" s="14" t="n"/>
      <c r="C296" s="14" t="n"/>
      <c r="D296" s="15" t="n"/>
      <c r="E296" s="16" t="n"/>
      <c r="F296" s="14" t="n"/>
      <c r="G296" s="17" t="n"/>
      <c r="H296" s="14" t="n"/>
      <c r="I296" s="17">
        <f>IF(OR(A296="",D296="",H296="Feito"),"",D296-TODAY())</f>
        <v/>
      </c>
      <c r="J296" s="14">
        <f>IF(OR(A296="",D296=""),"",IF(H296="Feito","FEITO",IF(I296&lt;0,"VENCIDO",IF(I296&lt;=IF(G296="",7,G296),"VENCE EM BREVE","No prazo"))))</f>
        <v/>
      </c>
      <c r="K296" s="15">
        <f>IF(OR(D296="",F296="",F296="Única"),"",EDATE(D296,IF(F296="Mensal",1,IF(F296="Trimestral",3,IF(F296="Semestral",6,12)))))</f>
        <v/>
      </c>
      <c r="L296" s="14" t="n"/>
    </row>
    <row r="297">
      <c r="A297" s="14" t="n"/>
      <c r="B297" s="14" t="n"/>
      <c r="C297" s="14" t="n"/>
      <c r="D297" s="15" t="n"/>
      <c r="E297" s="16" t="n"/>
      <c r="F297" s="14" t="n"/>
      <c r="G297" s="17" t="n"/>
      <c r="H297" s="14" t="n"/>
      <c r="I297" s="17">
        <f>IF(OR(A297="",D297="",H297="Feito"),"",D297-TODAY())</f>
        <v/>
      </c>
      <c r="J297" s="14">
        <f>IF(OR(A297="",D297=""),"",IF(H297="Feito","FEITO",IF(I297&lt;0,"VENCIDO",IF(I297&lt;=IF(G297="",7,G297),"VENCE EM BREVE","No prazo"))))</f>
        <v/>
      </c>
      <c r="K297" s="15">
        <f>IF(OR(D297="",F297="",F297="Única"),"",EDATE(D297,IF(F297="Mensal",1,IF(F297="Trimestral",3,IF(F297="Semestral",6,12)))))</f>
        <v/>
      </c>
      <c r="L297" s="14" t="n"/>
    </row>
    <row r="298">
      <c r="A298" s="14" t="n"/>
      <c r="B298" s="14" t="n"/>
      <c r="C298" s="14" t="n"/>
      <c r="D298" s="15" t="n"/>
      <c r="E298" s="16" t="n"/>
      <c r="F298" s="14" t="n"/>
      <c r="G298" s="17" t="n"/>
      <c r="H298" s="14" t="n"/>
      <c r="I298" s="17">
        <f>IF(OR(A298="",D298="",H298="Feito"),"",D298-TODAY())</f>
        <v/>
      </c>
      <c r="J298" s="14">
        <f>IF(OR(A298="",D298=""),"",IF(H298="Feito","FEITO",IF(I298&lt;0,"VENCIDO",IF(I298&lt;=IF(G298="",7,G298),"VENCE EM BREVE","No prazo"))))</f>
        <v/>
      </c>
      <c r="K298" s="15">
        <f>IF(OR(D298="",F298="",F298="Única"),"",EDATE(D298,IF(F298="Mensal",1,IF(F298="Trimestral",3,IF(F298="Semestral",6,12)))))</f>
        <v/>
      </c>
      <c r="L298" s="14" t="n"/>
    </row>
    <row r="299">
      <c r="A299" s="14" t="n"/>
      <c r="B299" s="14" t="n"/>
      <c r="C299" s="14" t="n"/>
      <c r="D299" s="15" t="n"/>
      <c r="E299" s="16" t="n"/>
      <c r="F299" s="14" t="n"/>
      <c r="G299" s="17" t="n"/>
      <c r="H299" s="14" t="n"/>
      <c r="I299" s="17">
        <f>IF(OR(A299="",D299="",H299="Feito"),"",D299-TODAY())</f>
        <v/>
      </c>
      <c r="J299" s="14">
        <f>IF(OR(A299="",D299=""),"",IF(H299="Feito","FEITO",IF(I299&lt;0,"VENCIDO",IF(I299&lt;=IF(G299="",7,G299),"VENCE EM BREVE","No prazo"))))</f>
        <v/>
      </c>
      <c r="K299" s="15">
        <f>IF(OR(D299="",F299="",F299="Única"),"",EDATE(D299,IF(F299="Mensal",1,IF(F299="Trimestral",3,IF(F299="Semestral",6,12)))))</f>
        <v/>
      </c>
      <c r="L299" s="14" t="n"/>
    </row>
    <row r="300">
      <c r="A300" s="14" t="n"/>
      <c r="B300" s="14" t="n"/>
      <c r="C300" s="14" t="n"/>
      <c r="D300" s="15" t="n"/>
      <c r="E300" s="16" t="n"/>
      <c r="F300" s="14" t="n"/>
      <c r="G300" s="17" t="n"/>
      <c r="H300" s="14" t="n"/>
      <c r="I300" s="17">
        <f>IF(OR(A300="",D300="",H300="Feito"),"",D300-TODAY())</f>
        <v/>
      </c>
      <c r="J300" s="14">
        <f>IF(OR(A300="",D300=""),"",IF(H300="Feito","FEITO",IF(I300&lt;0,"VENCIDO",IF(I300&lt;=IF(G300="",7,G300),"VENCE EM BREVE","No prazo"))))</f>
        <v/>
      </c>
      <c r="K300" s="15">
        <f>IF(OR(D300="",F300="",F300="Única"),"",EDATE(D300,IF(F300="Mensal",1,IF(F300="Trimestral",3,IF(F300="Semestral",6,12)))))</f>
        <v/>
      </c>
      <c r="L300" s="14" t="n"/>
    </row>
    <row r="301">
      <c r="A301" s="14" t="n"/>
      <c r="B301" s="14" t="n"/>
      <c r="C301" s="14" t="n"/>
      <c r="D301" s="15" t="n"/>
      <c r="E301" s="16" t="n"/>
      <c r="F301" s="14" t="n"/>
      <c r="G301" s="17" t="n"/>
      <c r="H301" s="14" t="n"/>
      <c r="I301" s="17">
        <f>IF(OR(A301="",D301="",H301="Feito"),"",D301-TODAY())</f>
        <v/>
      </c>
      <c r="J301" s="14">
        <f>IF(OR(A301="",D301=""),"",IF(H301="Feito","FEITO",IF(I301&lt;0,"VENCIDO",IF(I301&lt;=IF(G301="",7,G301),"VENCE EM BREVE","No prazo"))))</f>
        <v/>
      </c>
      <c r="K301" s="15">
        <f>IF(OR(D301="",F301="",F301="Única"),"",EDATE(D301,IF(F301="Mensal",1,IF(F301="Trimestral",3,IF(F301="Semestral",6,12)))))</f>
        <v/>
      </c>
      <c r="L301" s="14" t="n"/>
    </row>
    <row r="302">
      <c r="A302" s="14" t="n"/>
      <c r="B302" s="14" t="n"/>
      <c r="C302" s="14" t="n"/>
      <c r="D302" s="15" t="n"/>
      <c r="E302" s="16" t="n"/>
      <c r="F302" s="14" t="n"/>
      <c r="G302" s="17" t="n"/>
      <c r="H302" s="14" t="n"/>
      <c r="I302" s="17">
        <f>IF(OR(A302="",D302="",H302="Feito"),"",D302-TODAY())</f>
        <v/>
      </c>
      <c r="J302" s="14">
        <f>IF(OR(A302="",D302=""),"",IF(H302="Feito","FEITO",IF(I302&lt;0,"VENCIDO",IF(I302&lt;=IF(G302="",7,G302),"VENCE EM BREVE","No prazo"))))</f>
        <v/>
      </c>
      <c r="K302" s="15">
        <f>IF(OR(D302="",F302="",F302="Única"),"",EDATE(D302,IF(F302="Mensal",1,IF(F302="Trimestral",3,IF(F302="Semestral",6,12)))))</f>
        <v/>
      </c>
      <c r="L302" s="14" t="n"/>
    </row>
    <row r="303">
      <c r="A303" s="14" t="n"/>
      <c r="B303" s="14" t="n"/>
      <c r="C303" s="14" t="n"/>
      <c r="D303" s="15" t="n"/>
      <c r="E303" s="16" t="n"/>
      <c r="F303" s="14" t="n"/>
      <c r="G303" s="17" t="n"/>
      <c r="H303" s="14" t="n"/>
      <c r="I303" s="17">
        <f>IF(OR(A303="",D303="",H303="Feito"),"",D303-TODAY())</f>
        <v/>
      </c>
      <c r="J303" s="14">
        <f>IF(OR(A303="",D303=""),"",IF(H303="Feito","FEITO",IF(I303&lt;0,"VENCIDO",IF(I303&lt;=IF(G303="",7,G303),"VENCE EM BREVE","No prazo"))))</f>
        <v/>
      </c>
      <c r="K303" s="15">
        <f>IF(OR(D303="",F303="",F303="Única"),"",EDATE(D303,IF(F303="Mensal",1,IF(F303="Trimestral",3,IF(F303="Semestral",6,12)))))</f>
        <v/>
      </c>
      <c r="L303" s="14" t="n"/>
    </row>
    <row r="304">
      <c r="A304" s="14" t="n"/>
      <c r="B304" s="14" t="n"/>
      <c r="C304" s="14" t="n"/>
      <c r="D304" s="15" t="n"/>
      <c r="E304" s="16" t="n"/>
      <c r="F304" s="14" t="n"/>
      <c r="G304" s="17" t="n"/>
      <c r="H304" s="14" t="n"/>
      <c r="I304" s="17">
        <f>IF(OR(A304="",D304="",H304="Feito"),"",D304-TODAY())</f>
        <v/>
      </c>
      <c r="J304" s="14">
        <f>IF(OR(A304="",D304=""),"",IF(H304="Feito","FEITO",IF(I304&lt;0,"VENCIDO",IF(I304&lt;=IF(G304="",7,G304),"VENCE EM BREVE","No prazo"))))</f>
        <v/>
      </c>
      <c r="K304" s="15">
        <f>IF(OR(D304="",F304="",F304="Única"),"",EDATE(D304,IF(F304="Mensal",1,IF(F304="Trimestral",3,IF(F304="Semestral",6,12)))))</f>
        <v/>
      </c>
      <c r="L304" s="14" t="n"/>
    </row>
    <row r="305">
      <c r="A305" s="14" t="n"/>
      <c r="B305" s="14" t="n"/>
      <c r="C305" s="14" t="n"/>
      <c r="D305" s="15" t="n"/>
      <c r="E305" s="16" t="n"/>
      <c r="F305" s="14" t="n"/>
      <c r="G305" s="17" t="n"/>
      <c r="H305" s="14" t="n"/>
      <c r="I305" s="17">
        <f>IF(OR(A305="",D305="",H305="Feito"),"",D305-TODAY())</f>
        <v/>
      </c>
      <c r="J305" s="14">
        <f>IF(OR(A305="",D305=""),"",IF(H305="Feito","FEITO",IF(I305&lt;0,"VENCIDO",IF(I305&lt;=IF(G305="",7,G305),"VENCE EM BREVE","No prazo"))))</f>
        <v/>
      </c>
      <c r="K305" s="15">
        <f>IF(OR(D305="",F305="",F305="Única"),"",EDATE(D305,IF(F305="Mensal",1,IF(F305="Trimestral",3,IF(F305="Semestral",6,12)))))</f>
        <v/>
      </c>
      <c r="L305" s="14" t="n"/>
    </row>
    <row r="306">
      <c r="A306" s="14" t="n"/>
      <c r="B306" s="14" t="n"/>
      <c r="C306" s="14" t="n"/>
      <c r="D306" s="15" t="n"/>
      <c r="E306" s="16" t="n"/>
      <c r="F306" s="14" t="n"/>
      <c r="G306" s="17" t="n"/>
      <c r="H306" s="14" t="n"/>
      <c r="I306" s="17">
        <f>IF(OR(A306="",D306="",H306="Feito"),"",D306-TODAY())</f>
        <v/>
      </c>
      <c r="J306" s="14">
        <f>IF(OR(A306="",D306=""),"",IF(H306="Feito","FEITO",IF(I306&lt;0,"VENCIDO",IF(I306&lt;=IF(G306="",7,G306),"VENCE EM BREVE","No prazo"))))</f>
        <v/>
      </c>
      <c r="K306" s="15">
        <f>IF(OR(D306="",F306="",F306="Única"),"",EDATE(D306,IF(F306="Mensal",1,IF(F306="Trimestral",3,IF(F306="Semestral",6,12)))))</f>
        <v/>
      </c>
      <c r="L306" s="14" t="n"/>
    </row>
    <row r="307">
      <c r="A307" s="14" t="n"/>
      <c r="B307" s="14" t="n"/>
      <c r="C307" s="14" t="n"/>
      <c r="D307" s="15" t="n"/>
      <c r="E307" s="16" t="n"/>
      <c r="F307" s="14" t="n"/>
      <c r="G307" s="17" t="n"/>
      <c r="H307" s="14" t="n"/>
      <c r="I307" s="17">
        <f>IF(OR(A307="",D307="",H307="Feito"),"",D307-TODAY())</f>
        <v/>
      </c>
      <c r="J307" s="14">
        <f>IF(OR(A307="",D307=""),"",IF(H307="Feito","FEITO",IF(I307&lt;0,"VENCIDO",IF(I307&lt;=IF(G307="",7,G307),"VENCE EM BREVE","No prazo"))))</f>
        <v/>
      </c>
      <c r="K307" s="15">
        <f>IF(OR(D307="",F307="",F307="Única"),"",EDATE(D307,IF(F307="Mensal",1,IF(F307="Trimestral",3,IF(F307="Semestral",6,12)))))</f>
        <v/>
      </c>
      <c r="L307" s="14" t="n"/>
    </row>
    <row r="308">
      <c r="A308" s="14" t="n"/>
      <c r="B308" s="14" t="n"/>
      <c r="C308" s="14" t="n"/>
      <c r="D308" s="15" t="n"/>
      <c r="E308" s="16" t="n"/>
      <c r="F308" s="14" t="n"/>
      <c r="G308" s="17" t="n"/>
      <c r="H308" s="14" t="n"/>
      <c r="I308" s="17">
        <f>IF(OR(A308="",D308="",H308="Feito"),"",D308-TODAY())</f>
        <v/>
      </c>
      <c r="J308" s="14">
        <f>IF(OR(A308="",D308=""),"",IF(H308="Feito","FEITO",IF(I308&lt;0,"VENCIDO",IF(I308&lt;=IF(G308="",7,G308),"VENCE EM BREVE","No prazo"))))</f>
        <v/>
      </c>
      <c r="K308" s="15">
        <f>IF(OR(D308="",F308="",F308="Única"),"",EDATE(D308,IF(F308="Mensal",1,IF(F308="Trimestral",3,IF(F308="Semestral",6,12)))))</f>
        <v/>
      </c>
      <c r="L308" s="14" t="n"/>
    </row>
    <row r="309">
      <c r="A309" s="14" t="n"/>
      <c r="B309" s="14" t="n"/>
      <c r="C309" s="14" t="n"/>
      <c r="D309" s="15" t="n"/>
      <c r="E309" s="16" t="n"/>
      <c r="F309" s="14" t="n"/>
      <c r="G309" s="17" t="n"/>
      <c r="H309" s="14" t="n"/>
      <c r="I309" s="17">
        <f>IF(OR(A309="",D309="",H309="Feito"),"",D309-TODAY())</f>
        <v/>
      </c>
      <c r="J309" s="14">
        <f>IF(OR(A309="",D309=""),"",IF(H309="Feito","FEITO",IF(I309&lt;0,"VENCIDO",IF(I309&lt;=IF(G309="",7,G309),"VENCE EM BREVE","No prazo"))))</f>
        <v/>
      </c>
      <c r="K309" s="15">
        <f>IF(OR(D309="",F309="",F309="Única"),"",EDATE(D309,IF(F309="Mensal",1,IF(F309="Trimestral",3,IF(F309="Semestral",6,12)))))</f>
        <v/>
      </c>
      <c r="L309" s="14" t="n"/>
    </row>
    <row r="310">
      <c r="A310" s="14" t="n"/>
      <c r="B310" s="14" t="n"/>
      <c r="C310" s="14" t="n"/>
      <c r="D310" s="15" t="n"/>
      <c r="E310" s="16" t="n"/>
      <c r="F310" s="14" t="n"/>
      <c r="G310" s="17" t="n"/>
      <c r="H310" s="14" t="n"/>
      <c r="I310" s="17">
        <f>IF(OR(A310="",D310="",H310="Feito"),"",D310-TODAY())</f>
        <v/>
      </c>
      <c r="J310" s="14">
        <f>IF(OR(A310="",D310=""),"",IF(H310="Feito","FEITO",IF(I310&lt;0,"VENCIDO",IF(I310&lt;=IF(G310="",7,G310),"VENCE EM BREVE","No prazo"))))</f>
        <v/>
      </c>
      <c r="K310" s="15">
        <f>IF(OR(D310="",F310="",F310="Única"),"",EDATE(D310,IF(F310="Mensal",1,IF(F310="Trimestral",3,IF(F310="Semestral",6,12)))))</f>
        <v/>
      </c>
      <c r="L310" s="14" t="n"/>
    </row>
    <row r="311">
      <c r="A311" s="14" t="n"/>
      <c r="B311" s="14" t="n"/>
      <c r="C311" s="14" t="n"/>
      <c r="D311" s="15" t="n"/>
      <c r="E311" s="16" t="n"/>
      <c r="F311" s="14" t="n"/>
      <c r="G311" s="17" t="n"/>
      <c r="H311" s="14" t="n"/>
      <c r="I311" s="17">
        <f>IF(OR(A311="",D311="",H311="Feito"),"",D311-TODAY())</f>
        <v/>
      </c>
      <c r="J311" s="14">
        <f>IF(OR(A311="",D311=""),"",IF(H311="Feito","FEITO",IF(I311&lt;0,"VENCIDO",IF(I311&lt;=IF(G311="",7,G311),"VENCE EM BREVE","No prazo"))))</f>
        <v/>
      </c>
      <c r="K311" s="15">
        <f>IF(OR(D311="",F311="",F311="Única"),"",EDATE(D311,IF(F311="Mensal",1,IF(F311="Trimestral",3,IF(F311="Semestral",6,12)))))</f>
        <v/>
      </c>
      <c r="L311" s="14" t="n"/>
    </row>
    <row r="312">
      <c r="A312" s="14" t="n"/>
      <c r="B312" s="14" t="n"/>
      <c r="C312" s="14" t="n"/>
      <c r="D312" s="15" t="n"/>
      <c r="E312" s="16" t="n"/>
      <c r="F312" s="14" t="n"/>
      <c r="G312" s="17" t="n"/>
      <c r="H312" s="14" t="n"/>
      <c r="I312" s="17">
        <f>IF(OR(A312="",D312="",H312="Feito"),"",D312-TODAY())</f>
        <v/>
      </c>
      <c r="J312" s="14">
        <f>IF(OR(A312="",D312=""),"",IF(H312="Feito","FEITO",IF(I312&lt;0,"VENCIDO",IF(I312&lt;=IF(G312="",7,G312),"VENCE EM BREVE","No prazo"))))</f>
        <v/>
      </c>
      <c r="K312" s="15">
        <f>IF(OR(D312="",F312="",F312="Única"),"",EDATE(D312,IF(F312="Mensal",1,IF(F312="Trimestral",3,IF(F312="Semestral",6,12)))))</f>
        <v/>
      </c>
      <c r="L312" s="14" t="n"/>
    </row>
    <row r="313">
      <c r="A313" s="14" t="n"/>
      <c r="B313" s="14" t="n"/>
      <c r="C313" s="14" t="n"/>
      <c r="D313" s="15" t="n"/>
      <c r="E313" s="16" t="n"/>
      <c r="F313" s="14" t="n"/>
      <c r="G313" s="17" t="n"/>
      <c r="H313" s="14" t="n"/>
      <c r="I313" s="17">
        <f>IF(OR(A313="",D313="",H313="Feito"),"",D313-TODAY())</f>
        <v/>
      </c>
      <c r="J313" s="14">
        <f>IF(OR(A313="",D313=""),"",IF(H313="Feito","FEITO",IF(I313&lt;0,"VENCIDO",IF(I313&lt;=IF(G313="",7,G313),"VENCE EM BREVE","No prazo"))))</f>
        <v/>
      </c>
      <c r="K313" s="15">
        <f>IF(OR(D313="",F313="",F313="Única"),"",EDATE(D313,IF(F313="Mensal",1,IF(F313="Trimestral",3,IF(F313="Semestral",6,12)))))</f>
        <v/>
      </c>
      <c r="L313" s="14" t="n"/>
    </row>
    <row r="314">
      <c r="A314" s="14" t="n"/>
      <c r="B314" s="14" t="n"/>
      <c r="C314" s="14" t="n"/>
      <c r="D314" s="15" t="n"/>
      <c r="E314" s="16" t="n"/>
      <c r="F314" s="14" t="n"/>
      <c r="G314" s="17" t="n"/>
      <c r="H314" s="14" t="n"/>
      <c r="I314" s="17">
        <f>IF(OR(A314="",D314="",H314="Feito"),"",D314-TODAY())</f>
        <v/>
      </c>
      <c r="J314" s="14">
        <f>IF(OR(A314="",D314=""),"",IF(H314="Feito","FEITO",IF(I314&lt;0,"VENCIDO",IF(I314&lt;=IF(G314="",7,G314),"VENCE EM BREVE","No prazo"))))</f>
        <v/>
      </c>
      <c r="K314" s="15">
        <f>IF(OR(D314="",F314="",F314="Única"),"",EDATE(D314,IF(F314="Mensal",1,IF(F314="Trimestral",3,IF(F314="Semestral",6,12)))))</f>
        <v/>
      </c>
      <c r="L314" s="14" t="n"/>
    </row>
    <row r="315">
      <c r="A315" s="14" t="n"/>
      <c r="B315" s="14" t="n"/>
      <c r="C315" s="14" t="n"/>
      <c r="D315" s="15" t="n"/>
      <c r="E315" s="16" t="n"/>
      <c r="F315" s="14" t="n"/>
      <c r="G315" s="17" t="n"/>
      <c r="H315" s="14" t="n"/>
      <c r="I315" s="17">
        <f>IF(OR(A315="",D315="",H315="Feito"),"",D315-TODAY())</f>
        <v/>
      </c>
      <c r="J315" s="14">
        <f>IF(OR(A315="",D315=""),"",IF(H315="Feito","FEITO",IF(I315&lt;0,"VENCIDO",IF(I315&lt;=IF(G315="",7,G315),"VENCE EM BREVE","No prazo"))))</f>
        <v/>
      </c>
      <c r="K315" s="15">
        <f>IF(OR(D315="",F315="",F315="Única"),"",EDATE(D315,IF(F315="Mensal",1,IF(F315="Trimestral",3,IF(F315="Semestral",6,12)))))</f>
        <v/>
      </c>
      <c r="L315" s="14" t="n"/>
    </row>
    <row r="316">
      <c r="A316" s="14" t="n"/>
      <c r="B316" s="14" t="n"/>
      <c r="C316" s="14" t="n"/>
      <c r="D316" s="15" t="n"/>
      <c r="E316" s="16" t="n"/>
      <c r="F316" s="14" t="n"/>
      <c r="G316" s="17" t="n"/>
      <c r="H316" s="14" t="n"/>
      <c r="I316" s="17">
        <f>IF(OR(A316="",D316="",H316="Feito"),"",D316-TODAY())</f>
        <v/>
      </c>
      <c r="J316" s="14">
        <f>IF(OR(A316="",D316=""),"",IF(H316="Feito","FEITO",IF(I316&lt;0,"VENCIDO",IF(I316&lt;=IF(G316="",7,G316),"VENCE EM BREVE","No prazo"))))</f>
        <v/>
      </c>
      <c r="K316" s="15">
        <f>IF(OR(D316="",F316="",F316="Única"),"",EDATE(D316,IF(F316="Mensal",1,IF(F316="Trimestral",3,IF(F316="Semestral",6,12)))))</f>
        <v/>
      </c>
      <c r="L316" s="14" t="n"/>
    </row>
    <row r="317">
      <c r="A317" s="14" t="n"/>
      <c r="B317" s="14" t="n"/>
      <c r="C317" s="14" t="n"/>
      <c r="D317" s="15" t="n"/>
      <c r="E317" s="16" t="n"/>
      <c r="F317" s="14" t="n"/>
      <c r="G317" s="17" t="n"/>
      <c r="H317" s="14" t="n"/>
      <c r="I317" s="17">
        <f>IF(OR(A317="",D317="",H317="Feito"),"",D317-TODAY())</f>
        <v/>
      </c>
      <c r="J317" s="14">
        <f>IF(OR(A317="",D317=""),"",IF(H317="Feito","FEITO",IF(I317&lt;0,"VENCIDO",IF(I317&lt;=IF(G317="",7,G317),"VENCE EM BREVE","No prazo"))))</f>
        <v/>
      </c>
      <c r="K317" s="15">
        <f>IF(OR(D317="",F317="",F317="Única"),"",EDATE(D317,IF(F317="Mensal",1,IF(F317="Trimestral",3,IF(F317="Semestral",6,12)))))</f>
        <v/>
      </c>
      <c r="L317" s="14" t="n"/>
    </row>
    <row r="318">
      <c r="A318" s="14" t="n"/>
      <c r="B318" s="14" t="n"/>
      <c r="C318" s="14" t="n"/>
      <c r="D318" s="15" t="n"/>
      <c r="E318" s="16" t="n"/>
      <c r="F318" s="14" t="n"/>
      <c r="G318" s="17" t="n"/>
      <c r="H318" s="14" t="n"/>
      <c r="I318" s="17">
        <f>IF(OR(A318="",D318="",H318="Feito"),"",D318-TODAY())</f>
        <v/>
      </c>
      <c r="J318" s="14">
        <f>IF(OR(A318="",D318=""),"",IF(H318="Feito","FEITO",IF(I318&lt;0,"VENCIDO",IF(I318&lt;=IF(G318="",7,G318),"VENCE EM BREVE","No prazo"))))</f>
        <v/>
      </c>
      <c r="K318" s="15">
        <f>IF(OR(D318="",F318="",F318="Única"),"",EDATE(D318,IF(F318="Mensal",1,IF(F318="Trimestral",3,IF(F318="Semestral",6,12)))))</f>
        <v/>
      </c>
      <c r="L318" s="14" t="n"/>
    </row>
    <row r="319">
      <c r="A319" s="14" t="n"/>
      <c r="B319" s="14" t="n"/>
      <c r="C319" s="14" t="n"/>
      <c r="D319" s="15" t="n"/>
      <c r="E319" s="16" t="n"/>
      <c r="F319" s="14" t="n"/>
      <c r="G319" s="17" t="n"/>
      <c r="H319" s="14" t="n"/>
      <c r="I319" s="17">
        <f>IF(OR(A319="",D319="",H319="Feito"),"",D319-TODAY())</f>
        <v/>
      </c>
      <c r="J319" s="14">
        <f>IF(OR(A319="",D319=""),"",IF(H319="Feito","FEITO",IF(I319&lt;0,"VENCIDO",IF(I319&lt;=IF(G319="",7,G319),"VENCE EM BREVE","No prazo"))))</f>
        <v/>
      </c>
      <c r="K319" s="15">
        <f>IF(OR(D319="",F319="",F319="Única"),"",EDATE(D319,IF(F319="Mensal",1,IF(F319="Trimestral",3,IF(F319="Semestral",6,12)))))</f>
        <v/>
      </c>
      <c r="L319" s="14" t="n"/>
    </row>
    <row r="320">
      <c r="A320" s="14" t="n"/>
      <c r="B320" s="14" t="n"/>
      <c r="C320" s="14" t="n"/>
      <c r="D320" s="15" t="n"/>
      <c r="E320" s="16" t="n"/>
      <c r="F320" s="14" t="n"/>
      <c r="G320" s="17" t="n"/>
      <c r="H320" s="14" t="n"/>
      <c r="I320" s="17">
        <f>IF(OR(A320="",D320="",H320="Feito"),"",D320-TODAY())</f>
        <v/>
      </c>
      <c r="J320" s="14">
        <f>IF(OR(A320="",D320=""),"",IF(H320="Feito","FEITO",IF(I320&lt;0,"VENCIDO",IF(I320&lt;=IF(G320="",7,G320),"VENCE EM BREVE","No prazo"))))</f>
        <v/>
      </c>
      <c r="K320" s="15">
        <f>IF(OR(D320="",F320="",F320="Única"),"",EDATE(D320,IF(F320="Mensal",1,IF(F320="Trimestral",3,IF(F320="Semestral",6,12)))))</f>
        <v/>
      </c>
      <c r="L320" s="14" t="n"/>
    </row>
    <row r="321">
      <c r="A321" s="14" t="n"/>
      <c r="B321" s="14" t="n"/>
      <c r="C321" s="14" t="n"/>
      <c r="D321" s="15" t="n"/>
      <c r="E321" s="16" t="n"/>
      <c r="F321" s="14" t="n"/>
      <c r="G321" s="17" t="n"/>
      <c r="H321" s="14" t="n"/>
      <c r="I321" s="17">
        <f>IF(OR(A321="",D321="",H321="Feito"),"",D321-TODAY())</f>
        <v/>
      </c>
      <c r="J321" s="14">
        <f>IF(OR(A321="",D321=""),"",IF(H321="Feito","FEITO",IF(I321&lt;0,"VENCIDO",IF(I321&lt;=IF(G321="",7,G321),"VENCE EM BREVE","No prazo"))))</f>
        <v/>
      </c>
      <c r="K321" s="15">
        <f>IF(OR(D321="",F321="",F321="Única"),"",EDATE(D321,IF(F321="Mensal",1,IF(F321="Trimestral",3,IF(F321="Semestral",6,12)))))</f>
        <v/>
      </c>
      <c r="L321" s="14" t="n"/>
    </row>
    <row r="322">
      <c r="A322" s="14" t="n"/>
      <c r="B322" s="14" t="n"/>
      <c r="C322" s="14" t="n"/>
      <c r="D322" s="15" t="n"/>
      <c r="E322" s="16" t="n"/>
      <c r="F322" s="14" t="n"/>
      <c r="G322" s="17" t="n"/>
      <c r="H322" s="14" t="n"/>
      <c r="I322" s="17">
        <f>IF(OR(A322="",D322="",H322="Feito"),"",D322-TODAY())</f>
        <v/>
      </c>
      <c r="J322" s="14">
        <f>IF(OR(A322="",D322=""),"",IF(H322="Feito","FEITO",IF(I322&lt;0,"VENCIDO",IF(I322&lt;=IF(G322="",7,G322),"VENCE EM BREVE","No prazo"))))</f>
        <v/>
      </c>
      <c r="K322" s="15">
        <f>IF(OR(D322="",F322="",F322="Única"),"",EDATE(D322,IF(F322="Mensal",1,IF(F322="Trimestral",3,IF(F322="Semestral",6,12)))))</f>
        <v/>
      </c>
      <c r="L322" s="14" t="n"/>
    </row>
    <row r="323">
      <c r="A323" s="14" t="n"/>
      <c r="B323" s="14" t="n"/>
      <c r="C323" s="14" t="n"/>
      <c r="D323" s="15" t="n"/>
      <c r="E323" s="16" t="n"/>
      <c r="F323" s="14" t="n"/>
      <c r="G323" s="17" t="n"/>
      <c r="H323" s="14" t="n"/>
      <c r="I323" s="17">
        <f>IF(OR(A323="",D323="",H323="Feito"),"",D323-TODAY())</f>
        <v/>
      </c>
      <c r="J323" s="14">
        <f>IF(OR(A323="",D323=""),"",IF(H323="Feito","FEITO",IF(I323&lt;0,"VENCIDO",IF(I323&lt;=IF(G323="",7,G323),"VENCE EM BREVE","No prazo"))))</f>
        <v/>
      </c>
      <c r="K323" s="15">
        <f>IF(OR(D323="",F323="",F323="Única"),"",EDATE(D323,IF(F323="Mensal",1,IF(F323="Trimestral",3,IF(F323="Semestral",6,12)))))</f>
        <v/>
      </c>
      <c r="L323" s="14" t="n"/>
    </row>
    <row r="324">
      <c r="A324" s="14" t="n"/>
      <c r="B324" s="14" t="n"/>
      <c r="C324" s="14" t="n"/>
      <c r="D324" s="15" t="n"/>
      <c r="E324" s="16" t="n"/>
      <c r="F324" s="14" t="n"/>
      <c r="G324" s="17" t="n"/>
      <c r="H324" s="14" t="n"/>
      <c r="I324" s="17">
        <f>IF(OR(A324="",D324="",H324="Feito"),"",D324-TODAY())</f>
        <v/>
      </c>
      <c r="J324" s="14">
        <f>IF(OR(A324="",D324=""),"",IF(H324="Feito","FEITO",IF(I324&lt;0,"VENCIDO",IF(I324&lt;=IF(G324="",7,G324),"VENCE EM BREVE","No prazo"))))</f>
        <v/>
      </c>
      <c r="K324" s="15">
        <f>IF(OR(D324="",F324="",F324="Única"),"",EDATE(D324,IF(F324="Mensal",1,IF(F324="Trimestral",3,IF(F324="Semestral",6,12)))))</f>
        <v/>
      </c>
      <c r="L324" s="14" t="n"/>
    </row>
    <row r="325">
      <c r="A325" s="14" t="n"/>
      <c r="B325" s="14" t="n"/>
      <c r="C325" s="14" t="n"/>
      <c r="D325" s="15" t="n"/>
      <c r="E325" s="16" t="n"/>
      <c r="F325" s="14" t="n"/>
      <c r="G325" s="17" t="n"/>
      <c r="H325" s="14" t="n"/>
      <c r="I325" s="17">
        <f>IF(OR(A325="",D325="",H325="Feito"),"",D325-TODAY())</f>
        <v/>
      </c>
      <c r="J325" s="14">
        <f>IF(OR(A325="",D325=""),"",IF(H325="Feito","FEITO",IF(I325&lt;0,"VENCIDO",IF(I325&lt;=IF(G325="",7,G325),"VENCE EM BREVE","No prazo"))))</f>
        <v/>
      </c>
      <c r="K325" s="15">
        <f>IF(OR(D325="",F325="",F325="Única"),"",EDATE(D325,IF(F325="Mensal",1,IF(F325="Trimestral",3,IF(F325="Semestral",6,12)))))</f>
        <v/>
      </c>
      <c r="L325" s="14" t="n"/>
    </row>
    <row r="326">
      <c r="A326" s="14" t="n"/>
      <c r="B326" s="14" t="n"/>
      <c r="C326" s="14" t="n"/>
      <c r="D326" s="15" t="n"/>
      <c r="E326" s="16" t="n"/>
      <c r="F326" s="14" t="n"/>
      <c r="G326" s="17" t="n"/>
      <c r="H326" s="14" t="n"/>
      <c r="I326" s="17">
        <f>IF(OR(A326="",D326="",H326="Feito"),"",D326-TODAY())</f>
        <v/>
      </c>
      <c r="J326" s="14">
        <f>IF(OR(A326="",D326=""),"",IF(H326="Feito","FEITO",IF(I326&lt;0,"VENCIDO",IF(I326&lt;=IF(G326="",7,G326),"VENCE EM BREVE","No prazo"))))</f>
        <v/>
      </c>
      <c r="K326" s="15">
        <f>IF(OR(D326="",F326="",F326="Única"),"",EDATE(D326,IF(F326="Mensal",1,IF(F326="Trimestral",3,IF(F326="Semestral",6,12)))))</f>
        <v/>
      </c>
      <c r="L326" s="14" t="n"/>
    </row>
    <row r="327">
      <c r="A327" s="14" t="n"/>
      <c r="B327" s="14" t="n"/>
      <c r="C327" s="14" t="n"/>
      <c r="D327" s="15" t="n"/>
      <c r="E327" s="16" t="n"/>
      <c r="F327" s="14" t="n"/>
      <c r="G327" s="17" t="n"/>
      <c r="H327" s="14" t="n"/>
      <c r="I327" s="17">
        <f>IF(OR(A327="",D327="",H327="Feito"),"",D327-TODAY())</f>
        <v/>
      </c>
      <c r="J327" s="14">
        <f>IF(OR(A327="",D327=""),"",IF(H327="Feito","FEITO",IF(I327&lt;0,"VENCIDO",IF(I327&lt;=IF(G327="",7,G327),"VENCE EM BREVE","No prazo"))))</f>
        <v/>
      </c>
      <c r="K327" s="15">
        <f>IF(OR(D327="",F327="",F327="Única"),"",EDATE(D327,IF(F327="Mensal",1,IF(F327="Trimestral",3,IF(F327="Semestral",6,12)))))</f>
        <v/>
      </c>
      <c r="L327" s="14" t="n"/>
    </row>
    <row r="328">
      <c r="A328" s="14" t="n"/>
      <c r="B328" s="14" t="n"/>
      <c r="C328" s="14" t="n"/>
      <c r="D328" s="15" t="n"/>
      <c r="E328" s="16" t="n"/>
      <c r="F328" s="14" t="n"/>
      <c r="G328" s="17" t="n"/>
      <c r="H328" s="14" t="n"/>
      <c r="I328" s="17">
        <f>IF(OR(A328="",D328="",H328="Feito"),"",D328-TODAY())</f>
        <v/>
      </c>
      <c r="J328" s="14">
        <f>IF(OR(A328="",D328=""),"",IF(H328="Feito","FEITO",IF(I328&lt;0,"VENCIDO",IF(I328&lt;=IF(G328="",7,G328),"VENCE EM BREVE","No prazo"))))</f>
        <v/>
      </c>
      <c r="K328" s="15">
        <f>IF(OR(D328="",F328="",F328="Única"),"",EDATE(D328,IF(F328="Mensal",1,IF(F328="Trimestral",3,IF(F328="Semestral",6,12)))))</f>
        <v/>
      </c>
      <c r="L328" s="14" t="n"/>
    </row>
    <row r="329">
      <c r="A329" s="14" t="n"/>
      <c r="B329" s="14" t="n"/>
      <c r="C329" s="14" t="n"/>
      <c r="D329" s="15" t="n"/>
      <c r="E329" s="16" t="n"/>
      <c r="F329" s="14" t="n"/>
      <c r="G329" s="17" t="n"/>
      <c r="H329" s="14" t="n"/>
      <c r="I329" s="17">
        <f>IF(OR(A329="",D329="",H329="Feito"),"",D329-TODAY())</f>
        <v/>
      </c>
      <c r="J329" s="14">
        <f>IF(OR(A329="",D329=""),"",IF(H329="Feito","FEITO",IF(I329&lt;0,"VENCIDO",IF(I329&lt;=IF(G329="",7,G329),"VENCE EM BREVE","No prazo"))))</f>
        <v/>
      </c>
      <c r="K329" s="15">
        <f>IF(OR(D329="",F329="",F329="Única"),"",EDATE(D329,IF(F329="Mensal",1,IF(F329="Trimestral",3,IF(F329="Semestral",6,12)))))</f>
        <v/>
      </c>
      <c r="L329" s="14" t="n"/>
    </row>
    <row r="330">
      <c r="A330" s="14" t="n"/>
      <c r="B330" s="14" t="n"/>
      <c r="C330" s="14" t="n"/>
      <c r="D330" s="15" t="n"/>
      <c r="E330" s="16" t="n"/>
      <c r="F330" s="14" t="n"/>
      <c r="G330" s="17" t="n"/>
      <c r="H330" s="14" t="n"/>
      <c r="I330" s="17">
        <f>IF(OR(A330="",D330="",H330="Feito"),"",D330-TODAY())</f>
        <v/>
      </c>
      <c r="J330" s="14">
        <f>IF(OR(A330="",D330=""),"",IF(H330="Feito","FEITO",IF(I330&lt;0,"VENCIDO",IF(I330&lt;=IF(G330="",7,G330),"VENCE EM BREVE","No prazo"))))</f>
        <v/>
      </c>
      <c r="K330" s="15">
        <f>IF(OR(D330="",F330="",F330="Única"),"",EDATE(D330,IF(F330="Mensal",1,IF(F330="Trimestral",3,IF(F330="Semestral",6,12)))))</f>
        <v/>
      </c>
      <c r="L330" s="14" t="n"/>
    </row>
    <row r="331">
      <c r="A331" s="14" t="n"/>
      <c r="B331" s="14" t="n"/>
      <c r="C331" s="14" t="n"/>
      <c r="D331" s="15" t="n"/>
      <c r="E331" s="16" t="n"/>
      <c r="F331" s="14" t="n"/>
      <c r="G331" s="17" t="n"/>
      <c r="H331" s="14" t="n"/>
      <c r="I331" s="17">
        <f>IF(OR(A331="",D331="",H331="Feito"),"",D331-TODAY())</f>
        <v/>
      </c>
      <c r="J331" s="14">
        <f>IF(OR(A331="",D331=""),"",IF(H331="Feito","FEITO",IF(I331&lt;0,"VENCIDO",IF(I331&lt;=IF(G331="",7,G331),"VENCE EM BREVE","No prazo"))))</f>
        <v/>
      </c>
      <c r="K331" s="15">
        <f>IF(OR(D331="",F331="",F331="Única"),"",EDATE(D331,IF(F331="Mensal",1,IF(F331="Trimestral",3,IF(F331="Semestral",6,12)))))</f>
        <v/>
      </c>
      <c r="L331" s="14" t="n"/>
    </row>
    <row r="332">
      <c r="A332" s="14" t="n"/>
      <c r="B332" s="14" t="n"/>
      <c r="C332" s="14" t="n"/>
      <c r="D332" s="15" t="n"/>
      <c r="E332" s="16" t="n"/>
      <c r="F332" s="14" t="n"/>
      <c r="G332" s="17" t="n"/>
      <c r="H332" s="14" t="n"/>
      <c r="I332" s="17">
        <f>IF(OR(A332="",D332="",H332="Feito"),"",D332-TODAY())</f>
        <v/>
      </c>
      <c r="J332" s="14">
        <f>IF(OR(A332="",D332=""),"",IF(H332="Feito","FEITO",IF(I332&lt;0,"VENCIDO",IF(I332&lt;=IF(G332="",7,G332),"VENCE EM BREVE","No prazo"))))</f>
        <v/>
      </c>
      <c r="K332" s="15">
        <f>IF(OR(D332="",F332="",F332="Única"),"",EDATE(D332,IF(F332="Mensal",1,IF(F332="Trimestral",3,IF(F332="Semestral",6,12)))))</f>
        <v/>
      </c>
      <c r="L332" s="14" t="n"/>
    </row>
    <row r="333">
      <c r="A333" s="14" t="n"/>
      <c r="B333" s="14" t="n"/>
      <c r="C333" s="14" t="n"/>
      <c r="D333" s="15" t="n"/>
      <c r="E333" s="16" t="n"/>
      <c r="F333" s="14" t="n"/>
      <c r="G333" s="17" t="n"/>
      <c r="H333" s="14" t="n"/>
      <c r="I333" s="17">
        <f>IF(OR(A333="",D333="",H333="Feito"),"",D333-TODAY())</f>
        <v/>
      </c>
      <c r="J333" s="14">
        <f>IF(OR(A333="",D333=""),"",IF(H333="Feito","FEITO",IF(I333&lt;0,"VENCIDO",IF(I333&lt;=IF(G333="",7,G333),"VENCE EM BREVE","No prazo"))))</f>
        <v/>
      </c>
      <c r="K333" s="15">
        <f>IF(OR(D333="",F333="",F333="Única"),"",EDATE(D333,IF(F333="Mensal",1,IF(F333="Trimestral",3,IF(F333="Semestral",6,12)))))</f>
        <v/>
      </c>
      <c r="L333" s="14" t="n"/>
    </row>
    <row r="334">
      <c r="A334" s="14" t="n"/>
      <c r="B334" s="14" t="n"/>
      <c r="C334" s="14" t="n"/>
      <c r="D334" s="15" t="n"/>
      <c r="E334" s="16" t="n"/>
      <c r="F334" s="14" t="n"/>
      <c r="G334" s="17" t="n"/>
      <c r="H334" s="14" t="n"/>
      <c r="I334" s="17">
        <f>IF(OR(A334="",D334="",H334="Feito"),"",D334-TODAY())</f>
        <v/>
      </c>
      <c r="J334" s="14">
        <f>IF(OR(A334="",D334=""),"",IF(H334="Feito","FEITO",IF(I334&lt;0,"VENCIDO",IF(I334&lt;=IF(G334="",7,G334),"VENCE EM BREVE","No prazo"))))</f>
        <v/>
      </c>
      <c r="K334" s="15">
        <f>IF(OR(D334="",F334="",F334="Única"),"",EDATE(D334,IF(F334="Mensal",1,IF(F334="Trimestral",3,IF(F334="Semestral",6,12)))))</f>
        <v/>
      </c>
      <c r="L334" s="14" t="n"/>
    </row>
    <row r="335">
      <c r="A335" s="14" t="n"/>
      <c r="B335" s="14" t="n"/>
      <c r="C335" s="14" t="n"/>
      <c r="D335" s="15" t="n"/>
      <c r="E335" s="16" t="n"/>
      <c r="F335" s="14" t="n"/>
      <c r="G335" s="17" t="n"/>
      <c r="H335" s="14" t="n"/>
      <c r="I335" s="17">
        <f>IF(OR(A335="",D335="",H335="Feito"),"",D335-TODAY())</f>
        <v/>
      </c>
      <c r="J335" s="14">
        <f>IF(OR(A335="",D335=""),"",IF(H335="Feito","FEITO",IF(I335&lt;0,"VENCIDO",IF(I335&lt;=IF(G335="",7,G335),"VENCE EM BREVE","No prazo"))))</f>
        <v/>
      </c>
      <c r="K335" s="15">
        <f>IF(OR(D335="",F335="",F335="Única"),"",EDATE(D335,IF(F335="Mensal",1,IF(F335="Trimestral",3,IF(F335="Semestral",6,12)))))</f>
        <v/>
      </c>
      <c r="L335" s="14" t="n"/>
    </row>
    <row r="336">
      <c r="A336" s="14" t="n"/>
      <c r="B336" s="14" t="n"/>
      <c r="C336" s="14" t="n"/>
      <c r="D336" s="15" t="n"/>
      <c r="E336" s="16" t="n"/>
      <c r="F336" s="14" t="n"/>
      <c r="G336" s="17" t="n"/>
      <c r="H336" s="14" t="n"/>
      <c r="I336" s="17">
        <f>IF(OR(A336="",D336="",H336="Feito"),"",D336-TODAY())</f>
        <v/>
      </c>
      <c r="J336" s="14">
        <f>IF(OR(A336="",D336=""),"",IF(H336="Feito","FEITO",IF(I336&lt;0,"VENCIDO",IF(I336&lt;=IF(G336="",7,G336),"VENCE EM BREVE","No prazo"))))</f>
        <v/>
      </c>
      <c r="K336" s="15">
        <f>IF(OR(D336="",F336="",F336="Única"),"",EDATE(D336,IF(F336="Mensal",1,IF(F336="Trimestral",3,IF(F336="Semestral",6,12)))))</f>
        <v/>
      </c>
      <c r="L336" s="14" t="n"/>
    </row>
    <row r="337">
      <c r="A337" s="14" t="n"/>
      <c r="B337" s="14" t="n"/>
      <c r="C337" s="14" t="n"/>
      <c r="D337" s="15" t="n"/>
      <c r="E337" s="16" t="n"/>
      <c r="F337" s="14" t="n"/>
      <c r="G337" s="17" t="n"/>
      <c r="H337" s="14" t="n"/>
      <c r="I337" s="17">
        <f>IF(OR(A337="",D337="",H337="Feito"),"",D337-TODAY())</f>
        <v/>
      </c>
      <c r="J337" s="14">
        <f>IF(OR(A337="",D337=""),"",IF(H337="Feito","FEITO",IF(I337&lt;0,"VENCIDO",IF(I337&lt;=IF(G337="",7,G337),"VENCE EM BREVE","No prazo"))))</f>
        <v/>
      </c>
      <c r="K337" s="15">
        <f>IF(OR(D337="",F337="",F337="Única"),"",EDATE(D337,IF(F337="Mensal",1,IF(F337="Trimestral",3,IF(F337="Semestral",6,12)))))</f>
        <v/>
      </c>
      <c r="L337" s="14" t="n"/>
    </row>
    <row r="338">
      <c r="A338" s="14" t="n"/>
      <c r="B338" s="14" t="n"/>
      <c r="C338" s="14" t="n"/>
      <c r="D338" s="15" t="n"/>
      <c r="E338" s="16" t="n"/>
      <c r="F338" s="14" t="n"/>
      <c r="G338" s="17" t="n"/>
      <c r="H338" s="14" t="n"/>
      <c r="I338" s="17">
        <f>IF(OR(A338="",D338="",H338="Feito"),"",D338-TODAY())</f>
        <v/>
      </c>
      <c r="J338" s="14">
        <f>IF(OR(A338="",D338=""),"",IF(H338="Feito","FEITO",IF(I338&lt;0,"VENCIDO",IF(I338&lt;=IF(G338="",7,G338),"VENCE EM BREVE","No prazo"))))</f>
        <v/>
      </c>
      <c r="K338" s="15">
        <f>IF(OR(D338="",F338="",F338="Única"),"",EDATE(D338,IF(F338="Mensal",1,IF(F338="Trimestral",3,IF(F338="Semestral",6,12)))))</f>
        <v/>
      </c>
      <c r="L338" s="14" t="n"/>
    </row>
    <row r="339">
      <c r="A339" s="14" t="n"/>
      <c r="B339" s="14" t="n"/>
      <c r="C339" s="14" t="n"/>
      <c r="D339" s="15" t="n"/>
      <c r="E339" s="16" t="n"/>
      <c r="F339" s="14" t="n"/>
      <c r="G339" s="17" t="n"/>
      <c r="H339" s="14" t="n"/>
      <c r="I339" s="17">
        <f>IF(OR(A339="",D339="",H339="Feito"),"",D339-TODAY())</f>
        <v/>
      </c>
      <c r="J339" s="14">
        <f>IF(OR(A339="",D339=""),"",IF(H339="Feito","FEITO",IF(I339&lt;0,"VENCIDO",IF(I339&lt;=IF(G339="",7,G339),"VENCE EM BREVE","No prazo"))))</f>
        <v/>
      </c>
      <c r="K339" s="15">
        <f>IF(OR(D339="",F339="",F339="Única"),"",EDATE(D339,IF(F339="Mensal",1,IF(F339="Trimestral",3,IF(F339="Semestral",6,12)))))</f>
        <v/>
      </c>
      <c r="L339" s="14" t="n"/>
    </row>
    <row r="340">
      <c r="A340" s="14" t="n"/>
      <c r="B340" s="14" t="n"/>
      <c r="C340" s="14" t="n"/>
      <c r="D340" s="15" t="n"/>
      <c r="E340" s="16" t="n"/>
      <c r="F340" s="14" t="n"/>
      <c r="G340" s="17" t="n"/>
      <c r="H340" s="14" t="n"/>
      <c r="I340" s="17">
        <f>IF(OR(A340="",D340="",H340="Feito"),"",D340-TODAY())</f>
        <v/>
      </c>
      <c r="J340" s="14">
        <f>IF(OR(A340="",D340=""),"",IF(H340="Feito","FEITO",IF(I340&lt;0,"VENCIDO",IF(I340&lt;=IF(G340="",7,G340),"VENCE EM BREVE","No prazo"))))</f>
        <v/>
      </c>
      <c r="K340" s="15">
        <f>IF(OR(D340="",F340="",F340="Única"),"",EDATE(D340,IF(F340="Mensal",1,IF(F340="Trimestral",3,IF(F340="Semestral",6,12)))))</f>
        <v/>
      </c>
      <c r="L340" s="14" t="n"/>
    </row>
    <row r="341">
      <c r="A341" s="14" t="n"/>
      <c r="B341" s="14" t="n"/>
      <c r="C341" s="14" t="n"/>
      <c r="D341" s="15" t="n"/>
      <c r="E341" s="16" t="n"/>
      <c r="F341" s="14" t="n"/>
      <c r="G341" s="17" t="n"/>
      <c r="H341" s="14" t="n"/>
      <c r="I341" s="17">
        <f>IF(OR(A341="",D341="",H341="Feito"),"",D341-TODAY())</f>
        <v/>
      </c>
      <c r="J341" s="14">
        <f>IF(OR(A341="",D341=""),"",IF(H341="Feito","FEITO",IF(I341&lt;0,"VENCIDO",IF(I341&lt;=IF(G341="",7,G341),"VENCE EM BREVE","No prazo"))))</f>
        <v/>
      </c>
      <c r="K341" s="15">
        <f>IF(OR(D341="",F341="",F341="Única"),"",EDATE(D341,IF(F341="Mensal",1,IF(F341="Trimestral",3,IF(F341="Semestral",6,12)))))</f>
        <v/>
      </c>
      <c r="L341" s="14" t="n"/>
    </row>
    <row r="342">
      <c r="A342" s="14" t="n"/>
      <c r="B342" s="14" t="n"/>
      <c r="C342" s="14" t="n"/>
      <c r="D342" s="15" t="n"/>
      <c r="E342" s="16" t="n"/>
      <c r="F342" s="14" t="n"/>
      <c r="G342" s="17" t="n"/>
      <c r="H342" s="14" t="n"/>
      <c r="I342" s="17">
        <f>IF(OR(A342="",D342="",H342="Feito"),"",D342-TODAY())</f>
        <v/>
      </c>
      <c r="J342" s="14">
        <f>IF(OR(A342="",D342=""),"",IF(H342="Feito","FEITO",IF(I342&lt;0,"VENCIDO",IF(I342&lt;=IF(G342="",7,G342),"VENCE EM BREVE","No prazo"))))</f>
        <v/>
      </c>
      <c r="K342" s="15">
        <f>IF(OR(D342="",F342="",F342="Única"),"",EDATE(D342,IF(F342="Mensal",1,IF(F342="Trimestral",3,IF(F342="Semestral",6,12)))))</f>
        <v/>
      </c>
      <c r="L342" s="14" t="n"/>
    </row>
    <row r="343">
      <c r="A343" s="14" t="n"/>
      <c r="B343" s="14" t="n"/>
      <c r="C343" s="14" t="n"/>
      <c r="D343" s="15" t="n"/>
      <c r="E343" s="16" t="n"/>
      <c r="F343" s="14" t="n"/>
      <c r="G343" s="17" t="n"/>
      <c r="H343" s="14" t="n"/>
      <c r="I343" s="17">
        <f>IF(OR(A343="",D343="",H343="Feito"),"",D343-TODAY())</f>
        <v/>
      </c>
      <c r="J343" s="14">
        <f>IF(OR(A343="",D343=""),"",IF(H343="Feito","FEITO",IF(I343&lt;0,"VENCIDO",IF(I343&lt;=IF(G343="",7,G343),"VENCE EM BREVE","No prazo"))))</f>
        <v/>
      </c>
      <c r="K343" s="15">
        <f>IF(OR(D343="",F343="",F343="Única"),"",EDATE(D343,IF(F343="Mensal",1,IF(F343="Trimestral",3,IF(F343="Semestral",6,12)))))</f>
        <v/>
      </c>
      <c r="L343" s="14" t="n"/>
    </row>
    <row r="344">
      <c r="A344" s="14" t="n"/>
      <c r="B344" s="14" t="n"/>
      <c r="C344" s="14" t="n"/>
      <c r="D344" s="15" t="n"/>
      <c r="E344" s="16" t="n"/>
      <c r="F344" s="14" t="n"/>
      <c r="G344" s="17" t="n"/>
      <c r="H344" s="14" t="n"/>
      <c r="I344" s="17">
        <f>IF(OR(A344="",D344="",H344="Feito"),"",D344-TODAY())</f>
        <v/>
      </c>
      <c r="J344" s="14">
        <f>IF(OR(A344="",D344=""),"",IF(H344="Feito","FEITO",IF(I344&lt;0,"VENCIDO",IF(I344&lt;=IF(G344="",7,G344),"VENCE EM BREVE","No prazo"))))</f>
        <v/>
      </c>
      <c r="K344" s="15">
        <f>IF(OR(D344="",F344="",F344="Única"),"",EDATE(D344,IF(F344="Mensal",1,IF(F344="Trimestral",3,IF(F344="Semestral",6,12)))))</f>
        <v/>
      </c>
      <c r="L344" s="14" t="n"/>
    </row>
    <row r="345">
      <c r="A345" s="14" t="n"/>
      <c r="B345" s="14" t="n"/>
      <c r="C345" s="14" t="n"/>
      <c r="D345" s="15" t="n"/>
      <c r="E345" s="16" t="n"/>
      <c r="F345" s="14" t="n"/>
      <c r="G345" s="17" t="n"/>
      <c r="H345" s="14" t="n"/>
      <c r="I345" s="17">
        <f>IF(OR(A345="",D345="",H345="Feito"),"",D345-TODAY())</f>
        <v/>
      </c>
      <c r="J345" s="14">
        <f>IF(OR(A345="",D345=""),"",IF(H345="Feito","FEITO",IF(I345&lt;0,"VENCIDO",IF(I345&lt;=IF(G345="",7,G345),"VENCE EM BREVE","No prazo"))))</f>
        <v/>
      </c>
      <c r="K345" s="15">
        <f>IF(OR(D345="",F345="",F345="Única"),"",EDATE(D345,IF(F345="Mensal",1,IF(F345="Trimestral",3,IF(F345="Semestral",6,12)))))</f>
        <v/>
      </c>
      <c r="L345" s="14" t="n"/>
    </row>
    <row r="346">
      <c r="A346" s="14" t="n"/>
      <c r="B346" s="14" t="n"/>
      <c r="C346" s="14" t="n"/>
      <c r="D346" s="15" t="n"/>
      <c r="E346" s="16" t="n"/>
      <c r="F346" s="14" t="n"/>
      <c r="G346" s="17" t="n"/>
      <c r="H346" s="14" t="n"/>
      <c r="I346" s="17">
        <f>IF(OR(A346="",D346="",H346="Feito"),"",D346-TODAY())</f>
        <v/>
      </c>
      <c r="J346" s="14">
        <f>IF(OR(A346="",D346=""),"",IF(H346="Feito","FEITO",IF(I346&lt;0,"VENCIDO",IF(I346&lt;=IF(G346="",7,G346),"VENCE EM BREVE","No prazo"))))</f>
        <v/>
      </c>
      <c r="K346" s="15">
        <f>IF(OR(D346="",F346="",F346="Única"),"",EDATE(D346,IF(F346="Mensal",1,IF(F346="Trimestral",3,IF(F346="Semestral",6,12)))))</f>
        <v/>
      </c>
      <c r="L346" s="14" t="n"/>
    </row>
    <row r="347">
      <c r="A347" s="14" t="n"/>
      <c r="B347" s="14" t="n"/>
      <c r="C347" s="14" t="n"/>
      <c r="D347" s="15" t="n"/>
      <c r="E347" s="16" t="n"/>
      <c r="F347" s="14" t="n"/>
      <c r="G347" s="17" t="n"/>
      <c r="H347" s="14" t="n"/>
      <c r="I347" s="17">
        <f>IF(OR(A347="",D347="",H347="Feito"),"",D347-TODAY())</f>
        <v/>
      </c>
      <c r="J347" s="14">
        <f>IF(OR(A347="",D347=""),"",IF(H347="Feito","FEITO",IF(I347&lt;0,"VENCIDO",IF(I347&lt;=IF(G347="",7,G347),"VENCE EM BREVE","No prazo"))))</f>
        <v/>
      </c>
      <c r="K347" s="15">
        <f>IF(OR(D347="",F347="",F347="Única"),"",EDATE(D347,IF(F347="Mensal",1,IF(F347="Trimestral",3,IF(F347="Semestral",6,12)))))</f>
        <v/>
      </c>
      <c r="L347" s="14" t="n"/>
    </row>
    <row r="348">
      <c r="A348" s="14" t="n"/>
      <c r="B348" s="14" t="n"/>
      <c r="C348" s="14" t="n"/>
      <c r="D348" s="15" t="n"/>
      <c r="E348" s="16" t="n"/>
      <c r="F348" s="14" t="n"/>
      <c r="G348" s="17" t="n"/>
      <c r="H348" s="14" t="n"/>
      <c r="I348" s="17">
        <f>IF(OR(A348="",D348="",H348="Feito"),"",D348-TODAY())</f>
        <v/>
      </c>
      <c r="J348" s="14">
        <f>IF(OR(A348="",D348=""),"",IF(H348="Feito","FEITO",IF(I348&lt;0,"VENCIDO",IF(I348&lt;=IF(G348="",7,G348),"VENCE EM BREVE","No prazo"))))</f>
        <v/>
      </c>
      <c r="K348" s="15">
        <f>IF(OR(D348="",F348="",F348="Única"),"",EDATE(D348,IF(F348="Mensal",1,IF(F348="Trimestral",3,IF(F348="Semestral",6,12)))))</f>
        <v/>
      </c>
      <c r="L348" s="14" t="n"/>
    </row>
    <row r="349">
      <c r="A349" s="14" t="n"/>
      <c r="B349" s="14" t="n"/>
      <c r="C349" s="14" t="n"/>
      <c r="D349" s="15" t="n"/>
      <c r="E349" s="16" t="n"/>
      <c r="F349" s="14" t="n"/>
      <c r="G349" s="17" t="n"/>
      <c r="H349" s="14" t="n"/>
      <c r="I349" s="17">
        <f>IF(OR(A349="",D349="",H349="Feito"),"",D349-TODAY())</f>
        <v/>
      </c>
      <c r="J349" s="14">
        <f>IF(OR(A349="",D349=""),"",IF(H349="Feito","FEITO",IF(I349&lt;0,"VENCIDO",IF(I349&lt;=IF(G349="",7,G349),"VENCE EM BREVE","No prazo"))))</f>
        <v/>
      </c>
      <c r="K349" s="15">
        <f>IF(OR(D349="",F349="",F349="Única"),"",EDATE(D349,IF(F349="Mensal",1,IF(F349="Trimestral",3,IF(F349="Semestral",6,12)))))</f>
        <v/>
      </c>
      <c r="L349" s="14" t="n"/>
    </row>
    <row r="350">
      <c r="A350" s="14" t="n"/>
      <c r="B350" s="14" t="n"/>
      <c r="C350" s="14" t="n"/>
      <c r="D350" s="15" t="n"/>
      <c r="E350" s="16" t="n"/>
      <c r="F350" s="14" t="n"/>
      <c r="G350" s="17" t="n"/>
      <c r="H350" s="14" t="n"/>
      <c r="I350" s="17">
        <f>IF(OR(A350="",D350="",H350="Feito"),"",D350-TODAY())</f>
        <v/>
      </c>
      <c r="J350" s="14">
        <f>IF(OR(A350="",D350=""),"",IF(H350="Feito","FEITO",IF(I350&lt;0,"VENCIDO",IF(I350&lt;=IF(G350="",7,G350),"VENCE EM BREVE","No prazo"))))</f>
        <v/>
      </c>
      <c r="K350" s="15">
        <f>IF(OR(D350="",F350="",F350="Única"),"",EDATE(D350,IF(F350="Mensal",1,IF(F350="Trimestral",3,IF(F350="Semestral",6,12)))))</f>
        <v/>
      </c>
      <c r="L350" s="14" t="n"/>
    </row>
    <row r="351">
      <c r="A351" s="14" t="n"/>
      <c r="B351" s="14" t="n"/>
      <c r="C351" s="14" t="n"/>
      <c r="D351" s="15" t="n"/>
      <c r="E351" s="16" t="n"/>
      <c r="F351" s="14" t="n"/>
      <c r="G351" s="17" t="n"/>
      <c r="H351" s="14" t="n"/>
      <c r="I351" s="17">
        <f>IF(OR(A351="",D351="",H351="Feito"),"",D351-TODAY())</f>
        <v/>
      </c>
      <c r="J351" s="14">
        <f>IF(OR(A351="",D351=""),"",IF(H351="Feito","FEITO",IF(I351&lt;0,"VENCIDO",IF(I351&lt;=IF(G351="",7,G351),"VENCE EM BREVE","No prazo"))))</f>
        <v/>
      </c>
      <c r="K351" s="15">
        <f>IF(OR(D351="",F351="",F351="Única"),"",EDATE(D351,IF(F351="Mensal",1,IF(F351="Trimestral",3,IF(F351="Semestral",6,12)))))</f>
        <v/>
      </c>
      <c r="L351" s="14" t="n"/>
    </row>
    <row r="352">
      <c r="A352" s="14" t="n"/>
      <c r="B352" s="14" t="n"/>
      <c r="C352" s="14" t="n"/>
      <c r="D352" s="15" t="n"/>
      <c r="E352" s="16" t="n"/>
      <c r="F352" s="14" t="n"/>
      <c r="G352" s="17" t="n"/>
      <c r="H352" s="14" t="n"/>
      <c r="I352" s="17">
        <f>IF(OR(A352="",D352="",H352="Feito"),"",D352-TODAY())</f>
        <v/>
      </c>
      <c r="J352" s="14">
        <f>IF(OR(A352="",D352=""),"",IF(H352="Feito","FEITO",IF(I352&lt;0,"VENCIDO",IF(I352&lt;=IF(G352="",7,G352),"VENCE EM BREVE","No prazo"))))</f>
        <v/>
      </c>
      <c r="K352" s="15">
        <f>IF(OR(D352="",F352="",F352="Única"),"",EDATE(D352,IF(F352="Mensal",1,IF(F352="Trimestral",3,IF(F352="Semestral",6,12)))))</f>
        <v/>
      </c>
      <c r="L352" s="14" t="n"/>
    </row>
    <row r="353">
      <c r="A353" s="14" t="n"/>
      <c r="B353" s="14" t="n"/>
      <c r="C353" s="14" t="n"/>
      <c r="D353" s="15" t="n"/>
      <c r="E353" s="16" t="n"/>
      <c r="F353" s="14" t="n"/>
      <c r="G353" s="17" t="n"/>
      <c r="H353" s="14" t="n"/>
      <c r="I353" s="17">
        <f>IF(OR(A353="",D353="",H353="Feito"),"",D353-TODAY())</f>
        <v/>
      </c>
      <c r="J353" s="14">
        <f>IF(OR(A353="",D353=""),"",IF(H353="Feito","FEITO",IF(I353&lt;0,"VENCIDO",IF(I353&lt;=IF(G353="",7,G353),"VENCE EM BREVE","No prazo"))))</f>
        <v/>
      </c>
      <c r="K353" s="15">
        <f>IF(OR(D353="",F353="",F353="Única"),"",EDATE(D353,IF(F353="Mensal",1,IF(F353="Trimestral",3,IF(F353="Semestral",6,12)))))</f>
        <v/>
      </c>
      <c r="L353" s="14" t="n"/>
    </row>
    <row r="354">
      <c r="A354" s="14" t="n"/>
      <c r="B354" s="14" t="n"/>
      <c r="C354" s="14" t="n"/>
      <c r="D354" s="15" t="n"/>
      <c r="E354" s="16" t="n"/>
      <c r="F354" s="14" t="n"/>
      <c r="G354" s="17" t="n"/>
      <c r="H354" s="14" t="n"/>
      <c r="I354" s="17">
        <f>IF(OR(A354="",D354="",H354="Feito"),"",D354-TODAY())</f>
        <v/>
      </c>
      <c r="J354" s="14">
        <f>IF(OR(A354="",D354=""),"",IF(H354="Feito","FEITO",IF(I354&lt;0,"VENCIDO",IF(I354&lt;=IF(G354="",7,G354),"VENCE EM BREVE","No prazo"))))</f>
        <v/>
      </c>
      <c r="K354" s="15">
        <f>IF(OR(D354="",F354="",F354="Única"),"",EDATE(D354,IF(F354="Mensal",1,IF(F354="Trimestral",3,IF(F354="Semestral",6,12)))))</f>
        <v/>
      </c>
      <c r="L354" s="14" t="n"/>
    </row>
    <row r="355">
      <c r="A355" s="14" t="n"/>
      <c r="B355" s="14" t="n"/>
      <c r="C355" s="14" t="n"/>
      <c r="D355" s="15" t="n"/>
      <c r="E355" s="16" t="n"/>
      <c r="F355" s="14" t="n"/>
      <c r="G355" s="17" t="n"/>
      <c r="H355" s="14" t="n"/>
      <c r="I355" s="17">
        <f>IF(OR(A355="",D355="",H355="Feito"),"",D355-TODAY())</f>
        <v/>
      </c>
      <c r="J355" s="14">
        <f>IF(OR(A355="",D355=""),"",IF(H355="Feito","FEITO",IF(I355&lt;0,"VENCIDO",IF(I355&lt;=IF(G355="",7,G355),"VENCE EM BREVE","No prazo"))))</f>
        <v/>
      </c>
      <c r="K355" s="15">
        <f>IF(OR(D355="",F355="",F355="Única"),"",EDATE(D355,IF(F355="Mensal",1,IF(F355="Trimestral",3,IF(F355="Semestral",6,12)))))</f>
        <v/>
      </c>
      <c r="L355" s="14" t="n"/>
    </row>
    <row r="356">
      <c r="A356" s="14" t="n"/>
      <c r="B356" s="14" t="n"/>
      <c r="C356" s="14" t="n"/>
      <c r="D356" s="15" t="n"/>
      <c r="E356" s="16" t="n"/>
      <c r="F356" s="14" t="n"/>
      <c r="G356" s="17" t="n"/>
      <c r="H356" s="14" t="n"/>
      <c r="I356" s="17">
        <f>IF(OR(A356="",D356="",H356="Feito"),"",D356-TODAY())</f>
        <v/>
      </c>
      <c r="J356" s="14">
        <f>IF(OR(A356="",D356=""),"",IF(H356="Feito","FEITO",IF(I356&lt;0,"VENCIDO",IF(I356&lt;=IF(G356="",7,G356),"VENCE EM BREVE","No prazo"))))</f>
        <v/>
      </c>
      <c r="K356" s="15">
        <f>IF(OR(D356="",F356="",F356="Única"),"",EDATE(D356,IF(F356="Mensal",1,IF(F356="Trimestral",3,IF(F356="Semestral",6,12)))))</f>
        <v/>
      </c>
      <c r="L356" s="14" t="n"/>
    </row>
    <row r="357">
      <c r="A357" s="14" t="n"/>
      <c r="B357" s="14" t="n"/>
      <c r="C357" s="14" t="n"/>
      <c r="D357" s="15" t="n"/>
      <c r="E357" s="16" t="n"/>
      <c r="F357" s="14" t="n"/>
      <c r="G357" s="17" t="n"/>
      <c r="H357" s="14" t="n"/>
      <c r="I357" s="17">
        <f>IF(OR(A357="",D357="",H357="Feito"),"",D357-TODAY())</f>
        <v/>
      </c>
      <c r="J357" s="14">
        <f>IF(OR(A357="",D357=""),"",IF(H357="Feito","FEITO",IF(I357&lt;0,"VENCIDO",IF(I357&lt;=IF(G357="",7,G357),"VENCE EM BREVE","No prazo"))))</f>
        <v/>
      </c>
      <c r="K357" s="15">
        <f>IF(OR(D357="",F357="",F357="Única"),"",EDATE(D357,IF(F357="Mensal",1,IF(F357="Trimestral",3,IF(F357="Semestral",6,12)))))</f>
        <v/>
      </c>
      <c r="L357" s="14" t="n"/>
    </row>
    <row r="358">
      <c r="A358" s="14" t="n"/>
      <c r="B358" s="14" t="n"/>
      <c r="C358" s="14" t="n"/>
      <c r="D358" s="15" t="n"/>
      <c r="E358" s="16" t="n"/>
      <c r="F358" s="14" t="n"/>
      <c r="G358" s="17" t="n"/>
      <c r="H358" s="14" t="n"/>
      <c r="I358" s="17">
        <f>IF(OR(A358="",D358="",H358="Feito"),"",D358-TODAY())</f>
        <v/>
      </c>
      <c r="J358" s="14">
        <f>IF(OR(A358="",D358=""),"",IF(H358="Feito","FEITO",IF(I358&lt;0,"VENCIDO",IF(I358&lt;=IF(G358="",7,G358),"VENCE EM BREVE","No prazo"))))</f>
        <v/>
      </c>
      <c r="K358" s="15">
        <f>IF(OR(D358="",F358="",F358="Única"),"",EDATE(D358,IF(F358="Mensal",1,IF(F358="Trimestral",3,IF(F358="Semestral",6,12)))))</f>
        <v/>
      </c>
      <c r="L358" s="14" t="n"/>
    </row>
    <row r="359">
      <c r="A359" s="14" t="n"/>
      <c r="B359" s="14" t="n"/>
      <c r="C359" s="14" t="n"/>
      <c r="D359" s="15" t="n"/>
      <c r="E359" s="16" t="n"/>
      <c r="F359" s="14" t="n"/>
      <c r="G359" s="17" t="n"/>
      <c r="H359" s="14" t="n"/>
      <c r="I359" s="17">
        <f>IF(OR(A359="",D359="",H359="Feito"),"",D359-TODAY())</f>
        <v/>
      </c>
      <c r="J359" s="14">
        <f>IF(OR(A359="",D359=""),"",IF(H359="Feito","FEITO",IF(I359&lt;0,"VENCIDO",IF(I359&lt;=IF(G359="",7,G359),"VENCE EM BREVE","No prazo"))))</f>
        <v/>
      </c>
      <c r="K359" s="15">
        <f>IF(OR(D359="",F359="",F359="Única"),"",EDATE(D359,IF(F359="Mensal",1,IF(F359="Trimestral",3,IF(F359="Semestral",6,12)))))</f>
        <v/>
      </c>
      <c r="L359" s="14" t="n"/>
    </row>
    <row r="360">
      <c r="A360" s="14" t="n"/>
      <c r="B360" s="14" t="n"/>
      <c r="C360" s="14" t="n"/>
      <c r="D360" s="15" t="n"/>
      <c r="E360" s="16" t="n"/>
      <c r="F360" s="14" t="n"/>
      <c r="G360" s="17" t="n"/>
      <c r="H360" s="14" t="n"/>
      <c r="I360" s="17">
        <f>IF(OR(A360="",D360="",H360="Feito"),"",D360-TODAY())</f>
        <v/>
      </c>
      <c r="J360" s="14">
        <f>IF(OR(A360="",D360=""),"",IF(H360="Feito","FEITO",IF(I360&lt;0,"VENCIDO",IF(I360&lt;=IF(G360="",7,G360),"VENCE EM BREVE","No prazo"))))</f>
        <v/>
      </c>
      <c r="K360" s="15">
        <f>IF(OR(D360="",F360="",F360="Única"),"",EDATE(D360,IF(F360="Mensal",1,IF(F360="Trimestral",3,IF(F360="Semestral",6,12)))))</f>
        <v/>
      </c>
      <c r="L360" s="14" t="n"/>
    </row>
    <row r="361">
      <c r="A361" s="14" t="n"/>
      <c r="B361" s="14" t="n"/>
      <c r="C361" s="14" t="n"/>
      <c r="D361" s="15" t="n"/>
      <c r="E361" s="16" t="n"/>
      <c r="F361" s="14" t="n"/>
      <c r="G361" s="17" t="n"/>
      <c r="H361" s="14" t="n"/>
      <c r="I361" s="17">
        <f>IF(OR(A361="",D361="",H361="Feito"),"",D361-TODAY())</f>
        <v/>
      </c>
      <c r="J361" s="14">
        <f>IF(OR(A361="",D361=""),"",IF(H361="Feito","FEITO",IF(I361&lt;0,"VENCIDO",IF(I361&lt;=IF(G361="",7,G361),"VENCE EM BREVE","No prazo"))))</f>
        <v/>
      </c>
      <c r="K361" s="15">
        <f>IF(OR(D361="",F361="",F361="Única"),"",EDATE(D361,IF(F361="Mensal",1,IF(F361="Trimestral",3,IF(F361="Semestral",6,12)))))</f>
        <v/>
      </c>
      <c r="L361" s="14" t="n"/>
    </row>
    <row r="362">
      <c r="A362" s="14" t="n"/>
      <c r="B362" s="14" t="n"/>
      <c r="C362" s="14" t="n"/>
      <c r="D362" s="15" t="n"/>
      <c r="E362" s="16" t="n"/>
      <c r="F362" s="14" t="n"/>
      <c r="G362" s="17" t="n"/>
      <c r="H362" s="14" t="n"/>
      <c r="I362" s="17">
        <f>IF(OR(A362="",D362="",H362="Feito"),"",D362-TODAY())</f>
        <v/>
      </c>
      <c r="J362" s="14">
        <f>IF(OR(A362="",D362=""),"",IF(H362="Feito","FEITO",IF(I362&lt;0,"VENCIDO",IF(I362&lt;=IF(G362="",7,G362),"VENCE EM BREVE","No prazo"))))</f>
        <v/>
      </c>
      <c r="K362" s="15">
        <f>IF(OR(D362="",F362="",F362="Única"),"",EDATE(D362,IF(F362="Mensal",1,IF(F362="Trimestral",3,IF(F362="Semestral",6,12)))))</f>
        <v/>
      </c>
      <c r="L362" s="14" t="n"/>
    </row>
    <row r="363">
      <c r="A363" s="14" t="n"/>
      <c r="B363" s="14" t="n"/>
      <c r="C363" s="14" t="n"/>
      <c r="D363" s="15" t="n"/>
      <c r="E363" s="16" t="n"/>
      <c r="F363" s="14" t="n"/>
      <c r="G363" s="17" t="n"/>
      <c r="H363" s="14" t="n"/>
      <c r="I363" s="17">
        <f>IF(OR(A363="",D363="",H363="Feito"),"",D363-TODAY())</f>
        <v/>
      </c>
      <c r="J363" s="14">
        <f>IF(OR(A363="",D363=""),"",IF(H363="Feito","FEITO",IF(I363&lt;0,"VENCIDO",IF(I363&lt;=IF(G363="",7,G363),"VENCE EM BREVE","No prazo"))))</f>
        <v/>
      </c>
      <c r="K363" s="15">
        <f>IF(OR(D363="",F363="",F363="Única"),"",EDATE(D363,IF(F363="Mensal",1,IF(F363="Trimestral",3,IF(F363="Semestral",6,12)))))</f>
        <v/>
      </c>
      <c r="L363" s="14" t="n"/>
    </row>
    <row r="364">
      <c r="A364" s="14" t="n"/>
      <c r="B364" s="14" t="n"/>
      <c r="C364" s="14" t="n"/>
      <c r="D364" s="15" t="n"/>
      <c r="E364" s="16" t="n"/>
      <c r="F364" s="14" t="n"/>
      <c r="G364" s="17" t="n"/>
      <c r="H364" s="14" t="n"/>
      <c r="I364" s="17">
        <f>IF(OR(A364="",D364="",H364="Feito"),"",D364-TODAY())</f>
        <v/>
      </c>
      <c r="J364" s="14">
        <f>IF(OR(A364="",D364=""),"",IF(H364="Feito","FEITO",IF(I364&lt;0,"VENCIDO",IF(I364&lt;=IF(G364="",7,G364),"VENCE EM BREVE","No prazo"))))</f>
        <v/>
      </c>
      <c r="K364" s="15">
        <f>IF(OR(D364="",F364="",F364="Única"),"",EDATE(D364,IF(F364="Mensal",1,IF(F364="Trimestral",3,IF(F364="Semestral",6,12)))))</f>
        <v/>
      </c>
      <c r="L364" s="14" t="n"/>
    </row>
    <row r="365">
      <c r="A365" s="14" t="n"/>
      <c r="B365" s="14" t="n"/>
      <c r="C365" s="14" t="n"/>
      <c r="D365" s="15" t="n"/>
      <c r="E365" s="16" t="n"/>
      <c r="F365" s="14" t="n"/>
      <c r="G365" s="17" t="n"/>
      <c r="H365" s="14" t="n"/>
      <c r="I365" s="17">
        <f>IF(OR(A365="",D365="",H365="Feito"),"",D365-TODAY())</f>
        <v/>
      </c>
      <c r="J365" s="14">
        <f>IF(OR(A365="",D365=""),"",IF(H365="Feito","FEITO",IF(I365&lt;0,"VENCIDO",IF(I365&lt;=IF(G365="",7,G365),"VENCE EM BREVE","No prazo"))))</f>
        <v/>
      </c>
      <c r="K365" s="15">
        <f>IF(OR(D365="",F365="",F365="Única"),"",EDATE(D365,IF(F365="Mensal",1,IF(F365="Trimestral",3,IF(F365="Semestral",6,12)))))</f>
        <v/>
      </c>
      <c r="L365" s="14" t="n"/>
    </row>
    <row r="366">
      <c r="A366" s="14" t="n"/>
      <c r="B366" s="14" t="n"/>
      <c r="C366" s="14" t="n"/>
      <c r="D366" s="15" t="n"/>
      <c r="E366" s="16" t="n"/>
      <c r="F366" s="14" t="n"/>
      <c r="G366" s="17" t="n"/>
      <c r="H366" s="14" t="n"/>
      <c r="I366" s="17">
        <f>IF(OR(A366="",D366="",H366="Feito"),"",D366-TODAY())</f>
        <v/>
      </c>
      <c r="J366" s="14">
        <f>IF(OR(A366="",D366=""),"",IF(H366="Feito","FEITO",IF(I366&lt;0,"VENCIDO",IF(I366&lt;=IF(G366="",7,G366),"VENCE EM BREVE","No prazo"))))</f>
        <v/>
      </c>
      <c r="K366" s="15">
        <f>IF(OR(D366="",F366="",F366="Única"),"",EDATE(D366,IF(F366="Mensal",1,IF(F366="Trimestral",3,IF(F366="Semestral",6,12)))))</f>
        <v/>
      </c>
      <c r="L366" s="14" t="n"/>
    </row>
    <row r="367">
      <c r="A367" s="14" t="n"/>
      <c r="B367" s="14" t="n"/>
      <c r="C367" s="14" t="n"/>
      <c r="D367" s="15" t="n"/>
      <c r="E367" s="16" t="n"/>
      <c r="F367" s="14" t="n"/>
      <c r="G367" s="17" t="n"/>
      <c r="H367" s="14" t="n"/>
      <c r="I367" s="17">
        <f>IF(OR(A367="",D367="",H367="Feito"),"",D367-TODAY())</f>
        <v/>
      </c>
      <c r="J367" s="14">
        <f>IF(OR(A367="",D367=""),"",IF(H367="Feito","FEITO",IF(I367&lt;0,"VENCIDO",IF(I367&lt;=IF(G367="",7,G367),"VENCE EM BREVE","No prazo"))))</f>
        <v/>
      </c>
      <c r="K367" s="15">
        <f>IF(OR(D367="",F367="",F367="Única"),"",EDATE(D367,IF(F367="Mensal",1,IF(F367="Trimestral",3,IF(F367="Semestral",6,12)))))</f>
        <v/>
      </c>
      <c r="L367" s="14" t="n"/>
    </row>
    <row r="368">
      <c r="A368" s="14" t="n"/>
      <c r="B368" s="14" t="n"/>
      <c r="C368" s="14" t="n"/>
      <c r="D368" s="15" t="n"/>
      <c r="E368" s="16" t="n"/>
      <c r="F368" s="14" t="n"/>
      <c r="G368" s="17" t="n"/>
      <c r="H368" s="14" t="n"/>
      <c r="I368" s="17">
        <f>IF(OR(A368="",D368="",H368="Feito"),"",D368-TODAY())</f>
        <v/>
      </c>
      <c r="J368" s="14">
        <f>IF(OR(A368="",D368=""),"",IF(H368="Feito","FEITO",IF(I368&lt;0,"VENCIDO",IF(I368&lt;=IF(G368="",7,G368),"VENCE EM BREVE","No prazo"))))</f>
        <v/>
      </c>
      <c r="K368" s="15">
        <f>IF(OR(D368="",F368="",F368="Única"),"",EDATE(D368,IF(F368="Mensal",1,IF(F368="Trimestral",3,IF(F368="Semestral",6,12)))))</f>
        <v/>
      </c>
      <c r="L368" s="14" t="n"/>
    </row>
    <row r="369">
      <c r="A369" s="14" t="n"/>
      <c r="B369" s="14" t="n"/>
      <c r="C369" s="14" t="n"/>
      <c r="D369" s="15" t="n"/>
      <c r="E369" s="16" t="n"/>
      <c r="F369" s="14" t="n"/>
      <c r="G369" s="17" t="n"/>
      <c r="H369" s="14" t="n"/>
      <c r="I369" s="17">
        <f>IF(OR(A369="",D369="",H369="Feito"),"",D369-TODAY())</f>
        <v/>
      </c>
      <c r="J369" s="14">
        <f>IF(OR(A369="",D369=""),"",IF(H369="Feito","FEITO",IF(I369&lt;0,"VENCIDO",IF(I369&lt;=IF(G369="",7,G369),"VENCE EM BREVE","No prazo"))))</f>
        <v/>
      </c>
      <c r="K369" s="15">
        <f>IF(OR(D369="",F369="",F369="Única"),"",EDATE(D369,IF(F369="Mensal",1,IF(F369="Trimestral",3,IF(F369="Semestral",6,12)))))</f>
        <v/>
      </c>
      <c r="L369" s="14" t="n"/>
    </row>
    <row r="370">
      <c r="A370" s="14" t="n"/>
      <c r="B370" s="14" t="n"/>
      <c r="C370" s="14" t="n"/>
      <c r="D370" s="15" t="n"/>
      <c r="E370" s="16" t="n"/>
      <c r="F370" s="14" t="n"/>
      <c r="G370" s="17" t="n"/>
      <c r="H370" s="14" t="n"/>
      <c r="I370" s="17">
        <f>IF(OR(A370="",D370="",H370="Feito"),"",D370-TODAY())</f>
        <v/>
      </c>
      <c r="J370" s="14">
        <f>IF(OR(A370="",D370=""),"",IF(H370="Feito","FEITO",IF(I370&lt;0,"VENCIDO",IF(I370&lt;=IF(G370="",7,G370),"VENCE EM BREVE","No prazo"))))</f>
        <v/>
      </c>
      <c r="K370" s="15">
        <f>IF(OR(D370="",F370="",F370="Única"),"",EDATE(D370,IF(F370="Mensal",1,IF(F370="Trimestral",3,IF(F370="Semestral",6,12)))))</f>
        <v/>
      </c>
      <c r="L370" s="14" t="n"/>
    </row>
    <row r="371">
      <c r="A371" s="14" t="n"/>
      <c r="B371" s="14" t="n"/>
      <c r="C371" s="14" t="n"/>
      <c r="D371" s="15" t="n"/>
      <c r="E371" s="16" t="n"/>
      <c r="F371" s="14" t="n"/>
      <c r="G371" s="17" t="n"/>
      <c r="H371" s="14" t="n"/>
      <c r="I371" s="17">
        <f>IF(OR(A371="",D371="",H371="Feito"),"",D371-TODAY())</f>
        <v/>
      </c>
      <c r="J371" s="14">
        <f>IF(OR(A371="",D371=""),"",IF(H371="Feito","FEITO",IF(I371&lt;0,"VENCIDO",IF(I371&lt;=IF(G371="",7,G371),"VENCE EM BREVE","No prazo"))))</f>
        <v/>
      </c>
      <c r="K371" s="15">
        <f>IF(OR(D371="",F371="",F371="Única"),"",EDATE(D371,IF(F371="Mensal",1,IF(F371="Trimestral",3,IF(F371="Semestral",6,12)))))</f>
        <v/>
      </c>
      <c r="L371" s="14" t="n"/>
    </row>
    <row r="372">
      <c r="A372" s="14" t="n"/>
      <c r="B372" s="14" t="n"/>
      <c r="C372" s="14" t="n"/>
      <c r="D372" s="15" t="n"/>
      <c r="E372" s="16" t="n"/>
      <c r="F372" s="14" t="n"/>
      <c r="G372" s="17" t="n"/>
      <c r="H372" s="14" t="n"/>
      <c r="I372" s="17">
        <f>IF(OR(A372="",D372="",H372="Feito"),"",D372-TODAY())</f>
        <v/>
      </c>
      <c r="J372" s="14">
        <f>IF(OR(A372="",D372=""),"",IF(H372="Feito","FEITO",IF(I372&lt;0,"VENCIDO",IF(I372&lt;=IF(G372="",7,G372),"VENCE EM BREVE","No prazo"))))</f>
        <v/>
      </c>
      <c r="K372" s="15">
        <f>IF(OR(D372="",F372="",F372="Única"),"",EDATE(D372,IF(F372="Mensal",1,IF(F372="Trimestral",3,IF(F372="Semestral",6,12)))))</f>
        <v/>
      </c>
      <c r="L372" s="14" t="n"/>
    </row>
    <row r="373">
      <c r="A373" s="14" t="n"/>
      <c r="B373" s="14" t="n"/>
      <c r="C373" s="14" t="n"/>
      <c r="D373" s="15" t="n"/>
      <c r="E373" s="16" t="n"/>
      <c r="F373" s="14" t="n"/>
      <c r="G373" s="17" t="n"/>
      <c r="H373" s="14" t="n"/>
      <c r="I373" s="17">
        <f>IF(OR(A373="",D373="",H373="Feito"),"",D373-TODAY())</f>
        <v/>
      </c>
      <c r="J373" s="14">
        <f>IF(OR(A373="",D373=""),"",IF(H373="Feito","FEITO",IF(I373&lt;0,"VENCIDO",IF(I373&lt;=IF(G373="",7,G373),"VENCE EM BREVE","No prazo"))))</f>
        <v/>
      </c>
      <c r="K373" s="15">
        <f>IF(OR(D373="",F373="",F373="Única"),"",EDATE(D373,IF(F373="Mensal",1,IF(F373="Trimestral",3,IF(F373="Semestral",6,12)))))</f>
        <v/>
      </c>
      <c r="L373" s="14" t="n"/>
    </row>
    <row r="374">
      <c r="A374" s="14" t="n"/>
      <c r="B374" s="14" t="n"/>
      <c r="C374" s="14" t="n"/>
      <c r="D374" s="15" t="n"/>
      <c r="E374" s="16" t="n"/>
      <c r="F374" s="14" t="n"/>
      <c r="G374" s="17" t="n"/>
      <c r="H374" s="14" t="n"/>
      <c r="I374" s="17">
        <f>IF(OR(A374="",D374="",H374="Feito"),"",D374-TODAY())</f>
        <v/>
      </c>
      <c r="J374" s="14">
        <f>IF(OR(A374="",D374=""),"",IF(H374="Feito","FEITO",IF(I374&lt;0,"VENCIDO",IF(I374&lt;=IF(G374="",7,G374),"VENCE EM BREVE","No prazo"))))</f>
        <v/>
      </c>
      <c r="K374" s="15">
        <f>IF(OR(D374="",F374="",F374="Única"),"",EDATE(D374,IF(F374="Mensal",1,IF(F374="Trimestral",3,IF(F374="Semestral",6,12)))))</f>
        <v/>
      </c>
      <c r="L374" s="14" t="n"/>
    </row>
    <row r="375">
      <c r="A375" s="14" t="n"/>
      <c r="B375" s="14" t="n"/>
      <c r="C375" s="14" t="n"/>
      <c r="D375" s="15" t="n"/>
      <c r="E375" s="16" t="n"/>
      <c r="F375" s="14" t="n"/>
      <c r="G375" s="17" t="n"/>
      <c r="H375" s="14" t="n"/>
      <c r="I375" s="17">
        <f>IF(OR(A375="",D375="",H375="Feito"),"",D375-TODAY())</f>
        <v/>
      </c>
      <c r="J375" s="14">
        <f>IF(OR(A375="",D375=""),"",IF(H375="Feito","FEITO",IF(I375&lt;0,"VENCIDO",IF(I375&lt;=IF(G375="",7,G375),"VENCE EM BREVE","No prazo"))))</f>
        <v/>
      </c>
      <c r="K375" s="15">
        <f>IF(OR(D375="",F375="",F375="Única"),"",EDATE(D375,IF(F375="Mensal",1,IF(F375="Trimestral",3,IF(F375="Semestral",6,12)))))</f>
        <v/>
      </c>
      <c r="L375" s="14" t="n"/>
    </row>
    <row r="376">
      <c r="A376" s="14" t="n"/>
      <c r="B376" s="14" t="n"/>
      <c r="C376" s="14" t="n"/>
      <c r="D376" s="15" t="n"/>
      <c r="E376" s="16" t="n"/>
      <c r="F376" s="14" t="n"/>
      <c r="G376" s="17" t="n"/>
      <c r="H376" s="14" t="n"/>
      <c r="I376" s="17">
        <f>IF(OR(A376="",D376="",H376="Feito"),"",D376-TODAY())</f>
        <v/>
      </c>
      <c r="J376" s="14">
        <f>IF(OR(A376="",D376=""),"",IF(H376="Feito","FEITO",IF(I376&lt;0,"VENCIDO",IF(I376&lt;=IF(G376="",7,G376),"VENCE EM BREVE","No prazo"))))</f>
        <v/>
      </c>
      <c r="K376" s="15">
        <f>IF(OR(D376="",F376="",F376="Única"),"",EDATE(D376,IF(F376="Mensal",1,IF(F376="Trimestral",3,IF(F376="Semestral",6,12)))))</f>
        <v/>
      </c>
      <c r="L376" s="14" t="n"/>
    </row>
    <row r="377">
      <c r="A377" s="14" t="n"/>
      <c r="B377" s="14" t="n"/>
      <c r="C377" s="14" t="n"/>
      <c r="D377" s="15" t="n"/>
      <c r="E377" s="16" t="n"/>
      <c r="F377" s="14" t="n"/>
      <c r="G377" s="17" t="n"/>
      <c r="H377" s="14" t="n"/>
      <c r="I377" s="17">
        <f>IF(OR(A377="",D377="",H377="Feito"),"",D377-TODAY())</f>
        <v/>
      </c>
      <c r="J377" s="14">
        <f>IF(OR(A377="",D377=""),"",IF(H377="Feito","FEITO",IF(I377&lt;0,"VENCIDO",IF(I377&lt;=IF(G377="",7,G377),"VENCE EM BREVE","No prazo"))))</f>
        <v/>
      </c>
      <c r="K377" s="15">
        <f>IF(OR(D377="",F377="",F377="Única"),"",EDATE(D377,IF(F377="Mensal",1,IF(F377="Trimestral",3,IF(F377="Semestral",6,12)))))</f>
        <v/>
      </c>
      <c r="L377" s="14" t="n"/>
    </row>
    <row r="378">
      <c r="A378" s="14" t="n"/>
      <c r="B378" s="14" t="n"/>
      <c r="C378" s="14" t="n"/>
      <c r="D378" s="15" t="n"/>
      <c r="E378" s="16" t="n"/>
      <c r="F378" s="14" t="n"/>
      <c r="G378" s="17" t="n"/>
      <c r="H378" s="14" t="n"/>
      <c r="I378" s="17">
        <f>IF(OR(A378="",D378="",H378="Feito"),"",D378-TODAY())</f>
        <v/>
      </c>
      <c r="J378" s="14">
        <f>IF(OR(A378="",D378=""),"",IF(H378="Feito","FEITO",IF(I378&lt;0,"VENCIDO",IF(I378&lt;=IF(G378="",7,G378),"VENCE EM BREVE","No prazo"))))</f>
        <v/>
      </c>
      <c r="K378" s="15">
        <f>IF(OR(D378="",F378="",F378="Única"),"",EDATE(D378,IF(F378="Mensal",1,IF(F378="Trimestral",3,IF(F378="Semestral",6,12)))))</f>
        <v/>
      </c>
      <c r="L378" s="14" t="n"/>
    </row>
    <row r="379">
      <c r="A379" s="14" t="n"/>
      <c r="B379" s="14" t="n"/>
      <c r="C379" s="14" t="n"/>
      <c r="D379" s="15" t="n"/>
      <c r="E379" s="16" t="n"/>
      <c r="F379" s="14" t="n"/>
      <c r="G379" s="17" t="n"/>
      <c r="H379" s="14" t="n"/>
      <c r="I379" s="17">
        <f>IF(OR(A379="",D379="",H379="Feito"),"",D379-TODAY())</f>
        <v/>
      </c>
      <c r="J379" s="14">
        <f>IF(OR(A379="",D379=""),"",IF(H379="Feito","FEITO",IF(I379&lt;0,"VENCIDO",IF(I379&lt;=IF(G379="",7,G379),"VENCE EM BREVE","No prazo"))))</f>
        <v/>
      </c>
      <c r="K379" s="15">
        <f>IF(OR(D379="",F379="",F379="Única"),"",EDATE(D379,IF(F379="Mensal",1,IF(F379="Trimestral",3,IF(F379="Semestral",6,12)))))</f>
        <v/>
      </c>
      <c r="L379" s="14" t="n"/>
    </row>
    <row r="380">
      <c r="A380" s="14" t="n"/>
      <c r="B380" s="14" t="n"/>
      <c r="C380" s="14" t="n"/>
      <c r="D380" s="15" t="n"/>
      <c r="E380" s="16" t="n"/>
      <c r="F380" s="14" t="n"/>
      <c r="G380" s="17" t="n"/>
      <c r="H380" s="14" t="n"/>
      <c r="I380" s="17">
        <f>IF(OR(A380="",D380="",H380="Feito"),"",D380-TODAY())</f>
        <v/>
      </c>
      <c r="J380" s="14">
        <f>IF(OR(A380="",D380=""),"",IF(H380="Feito","FEITO",IF(I380&lt;0,"VENCIDO",IF(I380&lt;=IF(G380="",7,G380),"VENCE EM BREVE","No prazo"))))</f>
        <v/>
      </c>
      <c r="K380" s="15">
        <f>IF(OR(D380="",F380="",F380="Única"),"",EDATE(D380,IF(F380="Mensal",1,IF(F380="Trimestral",3,IF(F380="Semestral",6,12)))))</f>
        <v/>
      </c>
      <c r="L380" s="14" t="n"/>
    </row>
    <row r="381">
      <c r="A381" s="14" t="n"/>
      <c r="B381" s="14" t="n"/>
      <c r="C381" s="14" t="n"/>
      <c r="D381" s="15" t="n"/>
      <c r="E381" s="16" t="n"/>
      <c r="F381" s="14" t="n"/>
      <c r="G381" s="17" t="n"/>
      <c r="H381" s="14" t="n"/>
      <c r="I381" s="17">
        <f>IF(OR(A381="",D381="",H381="Feito"),"",D381-TODAY())</f>
        <v/>
      </c>
      <c r="J381" s="14">
        <f>IF(OR(A381="",D381=""),"",IF(H381="Feito","FEITO",IF(I381&lt;0,"VENCIDO",IF(I381&lt;=IF(G381="",7,G381),"VENCE EM BREVE","No prazo"))))</f>
        <v/>
      </c>
      <c r="K381" s="15">
        <f>IF(OR(D381="",F381="",F381="Única"),"",EDATE(D381,IF(F381="Mensal",1,IF(F381="Trimestral",3,IF(F381="Semestral",6,12)))))</f>
        <v/>
      </c>
      <c r="L381" s="14" t="n"/>
    </row>
    <row r="382">
      <c r="A382" s="14" t="n"/>
      <c r="B382" s="14" t="n"/>
      <c r="C382" s="14" t="n"/>
      <c r="D382" s="15" t="n"/>
      <c r="E382" s="16" t="n"/>
      <c r="F382" s="14" t="n"/>
      <c r="G382" s="17" t="n"/>
      <c r="H382" s="14" t="n"/>
      <c r="I382" s="17">
        <f>IF(OR(A382="",D382="",H382="Feito"),"",D382-TODAY())</f>
        <v/>
      </c>
      <c r="J382" s="14">
        <f>IF(OR(A382="",D382=""),"",IF(H382="Feito","FEITO",IF(I382&lt;0,"VENCIDO",IF(I382&lt;=IF(G382="",7,G382),"VENCE EM BREVE","No prazo"))))</f>
        <v/>
      </c>
      <c r="K382" s="15">
        <f>IF(OR(D382="",F382="",F382="Única"),"",EDATE(D382,IF(F382="Mensal",1,IF(F382="Trimestral",3,IF(F382="Semestral",6,12)))))</f>
        <v/>
      </c>
      <c r="L382" s="14" t="n"/>
    </row>
    <row r="383">
      <c r="A383" s="14" t="n"/>
      <c r="B383" s="14" t="n"/>
      <c r="C383" s="14" t="n"/>
      <c r="D383" s="15" t="n"/>
      <c r="E383" s="16" t="n"/>
      <c r="F383" s="14" t="n"/>
      <c r="G383" s="17" t="n"/>
      <c r="H383" s="14" t="n"/>
      <c r="I383" s="17">
        <f>IF(OR(A383="",D383="",H383="Feito"),"",D383-TODAY())</f>
        <v/>
      </c>
      <c r="J383" s="14">
        <f>IF(OR(A383="",D383=""),"",IF(H383="Feito","FEITO",IF(I383&lt;0,"VENCIDO",IF(I383&lt;=IF(G383="",7,G383),"VENCE EM BREVE","No prazo"))))</f>
        <v/>
      </c>
      <c r="K383" s="15">
        <f>IF(OR(D383="",F383="",F383="Única"),"",EDATE(D383,IF(F383="Mensal",1,IF(F383="Trimestral",3,IF(F383="Semestral",6,12)))))</f>
        <v/>
      </c>
      <c r="L383" s="14" t="n"/>
    </row>
    <row r="384">
      <c r="A384" s="14" t="n"/>
      <c r="B384" s="14" t="n"/>
      <c r="C384" s="14" t="n"/>
      <c r="D384" s="15" t="n"/>
      <c r="E384" s="16" t="n"/>
      <c r="F384" s="14" t="n"/>
      <c r="G384" s="17" t="n"/>
      <c r="H384" s="14" t="n"/>
      <c r="I384" s="17">
        <f>IF(OR(A384="",D384="",H384="Feito"),"",D384-TODAY())</f>
        <v/>
      </c>
      <c r="J384" s="14">
        <f>IF(OR(A384="",D384=""),"",IF(H384="Feito","FEITO",IF(I384&lt;0,"VENCIDO",IF(I384&lt;=IF(G384="",7,G384),"VENCE EM BREVE","No prazo"))))</f>
        <v/>
      </c>
      <c r="K384" s="15">
        <f>IF(OR(D384="",F384="",F384="Única"),"",EDATE(D384,IF(F384="Mensal",1,IF(F384="Trimestral",3,IF(F384="Semestral",6,12)))))</f>
        <v/>
      </c>
      <c r="L384" s="14" t="n"/>
    </row>
    <row r="385">
      <c r="A385" s="14" t="n"/>
      <c r="B385" s="14" t="n"/>
      <c r="C385" s="14" t="n"/>
      <c r="D385" s="15" t="n"/>
      <c r="E385" s="16" t="n"/>
      <c r="F385" s="14" t="n"/>
      <c r="G385" s="17" t="n"/>
      <c r="H385" s="14" t="n"/>
      <c r="I385" s="17">
        <f>IF(OR(A385="",D385="",H385="Feito"),"",D385-TODAY())</f>
        <v/>
      </c>
      <c r="J385" s="14">
        <f>IF(OR(A385="",D385=""),"",IF(H385="Feito","FEITO",IF(I385&lt;0,"VENCIDO",IF(I385&lt;=IF(G385="",7,G385),"VENCE EM BREVE","No prazo"))))</f>
        <v/>
      </c>
      <c r="K385" s="15">
        <f>IF(OR(D385="",F385="",F385="Única"),"",EDATE(D385,IF(F385="Mensal",1,IF(F385="Trimestral",3,IF(F385="Semestral",6,12)))))</f>
        <v/>
      </c>
      <c r="L385" s="14" t="n"/>
    </row>
    <row r="386">
      <c r="A386" s="14" t="n"/>
      <c r="B386" s="14" t="n"/>
      <c r="C386" s="14" t="n"/>
      <c r="D386" s="15" t="n"/>
      <c r="E386" s="16" t="n"/>
      <c r="F386" s="14" t="n"/>
      <c r="G386" s="17" t="n"/>
      <c r="H386" s="14" t="n"/>
      <c r="I386" s="17">
        <f>IF(OR(A386="",D386="",H386="Feito"),"",D386-TODAY())</f>
        <v/>
      </c>
      <c r="J386" s="14">
        <f>IF(OR(A386="",D386=""),"",IF(H386="Feito","FEITO",IF(I386&lt;0,"VENCIDO",IF(I386&lt;=IF(G386="",7,G386),"VENCE EM BREVE","No prazo"))))</f>
        <v/>
      </c>
      <c r="K386" s="15">
        <f>IF(OR(D386="",F386="",F386="Única"),"",EDATE(D386,IF(F386="Mensal",1,IF(F386="Trimestral",3,IF(F386="Semestral",6,12)))))</f>
        <v/>
      </c>
      <c r="L386" s="14" t="n"/>
    </row>
    <row r="387">
      <c r="A387" s="14" t="n"/>
      <c r="B387" s="14" t="n"/>
      <c r="C387" s="14" t="n"/>
      <c r="D387" s="15" t="n"/>
      <c r="E387" s="16" t="n"/>
      <c r="F387" s="14" t="n"/>
      <c r="G387" s="17" t="n"/>
      <c r="H387" s="14" t="n"/>
      <c r="I387" s="17">
        <f>IF(OR(A387="",D387="",H387="Feito"),"",D387-TODAY())</f>
        <v/>
      </c>
      <c r="J387" s="14">
        <f>IF(OR(A387="",D387=""),"",IF(H387="Feito","FEITO",IF(I387&lt;0,"VENCIDO",IF(I387&lt;=IF(G387="",7,G387),"VENCE EM BREVE","No prazo"))))</f>
        <v/>
      </c>
      <c r="K387" s="15">
        <f>IF(OR(D387="",F387="",F387="Única"),"",EDATE(D387,IF(F387="Mensal",1,IF(F387="Trimestral",3,IF(F387="Semestral",6,12)))))</f>
        <v/>
      </c>
      <c r="L387" s="14" t="n"/>
    </row>
    <row r="388">
      <c r="A388" s="14" t="n"/>
      <c r="B388" s="14" t="n"/>
      <c r="C388" s="14" t="n"/>
      <c r="D388" s="15" t="n"/>
      <c r="E388" s="16" t="n"/>
      <c r="F388" s="14" t="n"/>
      <c r="G388" s="17" t="n"/>
      <c r="H388" s="14" t="n"/>
      <c r="I388" s="17">
        <f>IF(OR(A388="",D388="",H388="Feito"),"",D388-TODAY())</f>
        <v/>
      </c>
      <c r="J388" s="14">
        <f>IF(OR(A388="",D388=""),"",IF(H388="Feito","FEITO",IF(I388&lt;0,"VENCIDO",IF(I388&lt;=IF(G388="",7,G388),"VENCE EM BREVE","No prazo"))))</f>
        <v/>
      </c>
      <c r="K388" s="15">
        <f>IF(OR(D388="",F388="",F388="Única"),"",EDATE(D388,IF(F388="Mensal",1,IF(F388="Trimestral",3,IF(F388="Semestral",6,12)))))</f>
        <v/>
      </c>
      <c r="L388" s="14" t="n"/>
    </row>
    <row r="389">
      <c r="A389" s="14" t="n"/>
      <c r="B389" s="14" t="n"/>
      <c r="C389" s="14" t="n"/>
      <c r="D389" s="15" t="n"/>
      <c r="E389" s="16" t="n"/>
      <c r="F389" s="14" t="n"/>
      <c r="G389" s="17" t="n"/>
      <c r="H389" s="14" t="n"/>
      <c r="I389" s="17">
        <f>IF(OR(A389="",D389="",H389="Feito"),"",D389-TODAY())</f>
        <v/>
      </c>
      <c r="J389" s="14">
        <f>IF(OR(A389="",D389=""),"",IF(H389="Feito","FEITO",IF(I389&lt;0,"VENCIDO",IF(I389&lt;=IF(G389="",7,G389),"VENCE EM BREVE","No prazo"))))</f>
        <v/>
      </c>
      <c r="K389" s="15">
        <f>IF(OR(D389="",F389="",F389="Única"),"",EDATE(D389,IF(F389="Mensal",1,IF(F389="Trimestral",3,IF(F389="Semestral",6,12)))))</f>
        <v/>
      </c>
      <c r="L389" s="14" t="n"/>
    </row>
    <row r="390">
      <c r="A390" s="14" t="n"/>
      <c r="B390" s="14" t="n"/>
      <c r="C390" s="14" t="n"/>
      <c r="D390" s="15" t="n"/>
      <c r="E390" s="16" t="n"/>
      <c r="F390" s="14" t="n"/>
      <c r="G390" s="17" t="n"/>
      <c r="H390" s="14" t="n"/>
      <c r="I390" s="17">
        <f>IF(OR(A390="",D390="",H390="Feito"),"",D390-TODAY())</f>
        <v/>
      </c>
      <c r="J390" s="14">
        <f>IF(OR(A390="",D390=""),"",IF(H390="Feito","FEITO",IF(I390&lt;0,"VENCIDO",IF(I390&lt;=IF(G390="",7,G390),"VENCE EM BREVE","No prazo"))))</f>
        <v/>
      </c>
      <c r="K390" s="15">
        <f>IF(OR(D390="",F390="",F390="Única"),"",EDATE(D390,IF(F390="Mensal",1,IF(F390="Trimestral",3,IF(F390="Semestral",6,12)))))</f>
        <v/>
      </c>
      <c r="L390" s="14" t="n"/>
    </row>
    <row r="391">
      <c r="A391" s="14" t="n"/>
      <c r="B391" s="14" t="n"/>
      <c r="C391" s="14" t="n"/>
      <c r="D391" s="15" t="n"/>
      <c r="E391" s="16" t="n"/>
      <c r="F391" s="14" t="n"/>
      <c r="G391" s="17" t="n"/>
      <c r="H391" s="14" t="n"/>
      <c r="I391" s="17">
        <f>IF(OR(A391="",D391="",H391="Feito"),"",D391-TODAY())</f>
        <v/>
      </c>
      <c r="J391" s="14">
        <f>IF(OR(A391="",D391=""),"",IF(H391="Feito","FEITO",IF(I391&lt;0,"VENCIDO",IF(I391&lt;=IF(G391="",7,G391),"VENCE EM BREVE","No prazo"))))</f>
        <v/>
      </c>
      <c r="K391" s="15">
        <f>IF(OR(D391="",F391="",F391="Única"),"",EDATE(D391,IF(F391="Mensal",1,IF(F391="Trimestral",3,IF(F391="Semestral",6,12)))))</f>
        <v/>
      </c>
      <c r="L391" s="14" t="n"/>
    </row>
    <row r="392">
      <c r="A392" s="14" t="n"/>
      <c r="B392" s="14" t="n"/>
      <c r="C392" s="14" t="n"/>
      <c r="D392" s="15" t="n"/>
      <c r="E392" s="16" t="n"/>
      <c r="F392" s="14" t="n"/>
      <c r="G392" s="17" t="n"/>
      <c r="H392" s="14" t="n"/>
      <c r="I392" s="17">
        <f>IF(OR(A392="",D392="",H392="Feito"),"",D392-TODAY())</f>
        <v/>
      </c>
      <c r="J392" s="14">
        <f>IF(OR(A392="",D392=""),"",IF(H392="Feito","FEITO",IF(I392&lt;0,"VENCIDO",IF(I392&lt;=IF(G392="",7,G392),"VENCE EM BREVE","No prazo"))))</f>
        <v/>
      </c>
      <c r="K392" s="15">
        <f>IF(OR(D392="",F392="",F392="Única"),"",EDATE(D392,IF(F392="Mensal",1,IF(F392="Trimestral",3,IF(F392="Semestral",6,12)))))</f>
        <v/>
      </c>
      <c r="L392" s="14" t="n"/>
    </row>
    <row r="393">
      <c r="A393" s="14" t="n"/>
      <c r="B393" s="14" t="n"/>
      <c r="C393" s="14" t="n"/>
      <c r="D393" s="15" t="n"/>
      <c r="E393" s="16" t="n"/>
      <c r="F393" s="14" t="n"/>
      <c r="G393" s="17" t="n"/>
      <c r="H393" s="14" t="n"/>
      <c r="I393" s="17">
        <f>IF(OR(A393="",D393="",H393="Feito"),"",D393-TODAY())</f>
        <v/>
      </c>
      <c r="J393" s="14">
        <f>IF(OR(A393="",D393=""),"",IF(H393="Feito","FEITO",IF(I393&lt;0,"VENCIDO",IF(I393&lt;=IF(G393="",7,G393),"VENCE EM BREVE","No prazo"))))</f>
        <v/>
      </c>
      <c r="K393" s="15">
        <f>IF(OR(D393="",F393="",F393="Única"),"",EDATE(D393,IF(F393="Mensal",1,IF(F393="Trimestral",3,IF(F393="Semestral",6,12)))))</f>
        <v/>
      </c>
      <c r="L393" s="14" t="n"/>
    </row>
    <row r="394">
      <c r="A394" s="14" t="n"/>
      <c r="B394" s="14" t="n"/>
      <c r="C394" s="14" t="n"/>
      <c r="D394" s="15" t="n"/>
      <c r="E394" s="16" t="n"/>
      <c r="F394" s="14" t="n"/>
      <c r="G394" s="17" t="n"/>
      <c r="H394" s="14" t="n"/>
      <c r="I394" s="17">
        <f>IF(OR(A394="",D394="",H394="Feito"),"",D394-TODAY())</f>
        <v/>
      </c>
      <c r="J394" s="14">
        <f>IF(OR(A394="",D394=""),"",IF(H394="Feito","FEITO",IF(I394&lt;0,"VENCIDO",IF(I394&lt;=IF(G394="",7,G394),"VENCE EM BREVE","No prazo"))))</f>
        <v/>
      </c>
      <c r="K394" s="15">
        <f>IF(OR(D394="",F394="",F394="Única"),"",EDATE(D394,IF(F394="Mensal",1,IF(F394="Trimestral",3,IF(F394="Semestral",6,12)))))</f>
        <v/>
      </c>
      <c r="L394" s="14" t="n"/>
    </row>
    <row r="395">
      <c r="A395" s="14" t="n"/>
      <c r="B395" s="14" t="n"/>
      <c r="C395" s="14" t="n"/>
      <c r="D395" s="15" t="n"/>
      <c r="E395" s="16" t="n"/>
      <c r="F395" s="14" t="n"/>
      <c r="G395" s="17" t="n"/>
      <c r="H395" s="14" t="n"/>
      <c r="I395" s="17">
        <f>IF(OR(A395="",D395="",H395="Feito"),"",D395-TODAY())</f>
        <v/>
      </c>
      <c r="J395" s="14">
        <f>IF(OR(A395="",D395=""),"",IF(H395="Feito","FEITO",IF(I395&lt;0,"VENCIDO",IF(I395&lt;=IF(G395="",7,G395),"VENCE EM BREVE","No prazo"))))</f>
        <v/>
      </c>
      <c r="K395" s="15">
        <f>IF(OR(D395="",F395="",F395="Única"),"",EDATE(D395,IF(F395="Mensal",1,IF(F395="Trimestral",3,IF(F395="Semestral",6,12)))))</f>
        <v/>
      </c>
      <c r="L395" s="14" t="n"/>
    </row>
    <row r="396">
      <c r="A396" s="14" t="n"/>
      <c r="B396" s="14" t="n"/>
      <c r="C396" s="14" t="n"/>
      <c r="D396" s="15" t="n"/>
      <c r="E396" s="16" t="n"/>
      <c r="F396" s="14" t="n"/>
      <c r="G396" s="17" t="n"/>
      <c r="H396" s="14" t="n"/>
      <c r="I396" s="17">
        <f>IF(OR(A396="",D396="",H396="Feito"),"",D396-TODAY())</f>
        <v/>
      </c>
      <c r="J396" s="14">
        <f>IF(OR(A396="",D396=""),"",IF(H396="Feito","FEITO",IF(I396&lt;0,"VENCIDO",IF(I396&lt;=IF(G396="",7,G396),"VENCE EM BREVE","No prazo"))))</f>
        <v/>
      </c>
      <c r="K396" s="15">
        <f>IF(OR(D396="",F396="",F396="Única"),"",EDATE(D396,IF(F396="Mensal",1,IF(F396="Trimestral",3,IF(F396="Semestral",6,12)))))</f>
        <v/>
      </c>
      <c r="L396" s="14" t="n"/>
    </row>
    <row r="397">
      <c r="A397" s="14" t="n"/>
      <c r="B397" s="14" t="n"/>
      <c r="C397" s="14" t="n"/>
      <c r="D397" s="15" t="n"/>
      <c r="E397" s="16" t="n"/>
      <c r="F397" s="14" t="n"/>
      <c r="G397" s="17" t="n"/>
      <c r="H397" s="14" t="n"/>
      <c r="I397" s="17">
        <f>IF(OR(A397="",D397="",H397="Feito"),"",D397-TODAY())</f>
        <v/>
      </c>
      <c r="J397" s="14">
        <f>IF(OR(A397="",D397=""),"",IF(H397="Feito","FEITO",IF(I397&lt;0,"VENCIDO",IF(I397&lt;=IF(G397="",7,G397),"VENCE EM BREVE","No prazo"))))</f>
        <v/>
      </c>
      <c r="K397" s="15">
        <f>IF(OR(D397="",F397="",F397="Única"),"",EDATE(D397,IF(F397="Mensal",1,IF(F397="Trimestral",3,IF(F397="Semestral",6,12)))))</f>
        <v/>
      </c>
      <c r="L397" s="14" t="n"/>
    </row>
    <row r="398">
      <c r="A398" s="14" t="n"/>
      <c r="B398" s="14" t="n"/>
      <c r="C398" s="14" t="n"/>
      <c r="D398" s="15" t="n"/>
      <c r="E398" s="16" t="n"/>
      <c r="F398" s="14" t="n"/>
      <c r="G398" s="17" t="n"/>
      <c r="H398" s="14" t="n"/>
      <c r="I398" s="17">
        <f>IF(OR(A398="",D398="",H398="Feito"),"",D398-TODAY())</f>
        <v/>
      </c>
      <c r="J398" s="14">
        <f>IF(OR(A398="",D398=""),"",IF(H398="Feito","FEITO",IF(I398&lt;0,"VENCIDO",IF(I398&lt;=IF(G398="",7,G398),"VENCE EM BREVE","No prazo"))))</f>
        <v/>
      </c>
      <c r="K398" s="15">
        <f>IF(OR(D398="",F398="",F398="Única"),"",EDATE(D398,IF(F398="Mensal",1,IF(F398="Trimestral",3,IF(F398="Semestral",6,12)))))</f>
        <v/>
      </c>
      <c r="L398" s="14" t="n"/>
    </row>
    <row r="399">
      <c r="A399" s="14" t="n"/>
      <c r="B399" s="14" t="n"/>
      <c r="C399" s="14" t="n"/>
      <c r="D399" s="15" t="n"/>
      <c r="E399" s="16" t="n"/>
      <c r="F399" s="14" t="n"/>
      <c r="G399" s="17" t="n"/>
      <c r="H399" s="14" t="n"/>
      <c r="I399" s="17">
        <f>IF(OR(A399="",D399="",H399="Feito"),"",D399-TODAY())</f>
        <v/>
      </c>
      <c r="J399" s="14">
        <f>IF(OR(A399="",D399=""),"",IF(H399="Feito","FEITO",IF(I399&lt;0,"VENCIDO",IF(I399&lt;=IF(G399="",7,G399),"VENCE EM BREVE","No prazo"))))</f>
        <v/>
      </c>
      <c r="K399" s="15">
        <f>IF(OR(D399="",F399="",F399="Única"),"",EDATE(D399,IF(F399="Mensal",1,IF(F399="Trimestral",3,IF(F399="Semestral",6,12)))))</f>
        <v/>
      </c>
      <c r="L399" s="14" t="n"/>
    </row>
    <row r="400">
      <c r="A400" s="14" t="n"/>
      <c r="B400" s="14" t="n"/>
      <c r="C400" s="14" t="n"/>
      <c r="D400" s="15" t="n"/>
      <c r="E400" s="16" t="n"/>
      <c r="F400" s="14" t="n"/>
      <c r="G400" s="17" t="n"/>
      <c r="H400" s="14" t="n"/>
      <c r="I400" s="17">
        <f>IF(OR(A400="",D400="",H400="Feito"),"",D400-TODAY())</f>
        <v/>
      </c>
      <c r="J400" s="14">
        <f>IF(OR(A400="",D400=""),"",IF(H400="Feito","FEITO",IF(I400&lt;0,"VENCIDO",IF(I400&lt;=IF(G400="",7,G400),"VENCE EM BREVE","No prazo"))))</f>
        <v/>
      </c>
      <c r="K400" s="15">
        <f>IF(OR(D400="",F400="",F400="Única"),"",EDATE(D400,IF(F400="Mensal",1,IF(F400="Trimestral",3,IF(F400="Semestral",6,12)))))</f>
        <v/>
      </c>
      <c r="L400" s="14" t="n"/>
    </row>
    <row r="401">
      <c r="A401" s="14" t="n"/>
      <c r="B401" s="14" t="n"/>
      <c r="C401" s="14" t="n"/>
      <c r="D401" s="15" t="n"/>
      <c r="E401" s="16" t="n"/>
      <c r="F401" s="14" t="n"/>
      <c r="G401" s="17" t="n"/>
      <c r="H401" s="14" t="n"/>
      <c r="I401" s="17">
        <f>IF(OR(A401="",D401="",H401="Feito"),"",D401-TODAY())</f>
        <v/>
      </c>
      <c r="J401" s="14">
        <f>IF(OR(A401="",D401=""),"",IF(H401="Feito","FEITO",IF(I401&lt;0,"VENCIDO",IF(I401&lt;=IF(G401="",7,G401),"VENCE EM BREVE","No prazo"))))</f>
        <v/>
      </c>
      <c r="K401" s="15">
        <f>IF(OR(D401="",F401="",F401="Única"),"",EDATE(D401,IF(F401="Mensal",1,IF(F401="Trimestral",3,IF(F401="Semestral",6,12)))))</f>
        <v/>
      </c>
      <c r="L401" s="14" t="n"/>
    </row>
    <row r="402">
      <c r="A402" s="14" t="n"/>
      <c r="B402" s="14" t="n"/>
      <c r="C402" s="14" t="n"/>
      <c r="D402" s="15" t="n"/>
      <c r="E402" s="16" t="n"/>
      <c r="F402" s="14" t="n"/>
      <c r="G402" s="17" t="n"/>
      <c r="H402" s="14" t="n"/>
      <c r="I402" s="17">
        <f>IF(OR(A402="",D402="",H402="Feito"),"",D402-TODAY())</f>
        <v/>
      </c>
      <c r="J402" s="14">
        <f>IF(OR(A402="",D402=""),"",IF(H402="Feito","FEITO",IF(I402&lt;0,"VENCIDO",IF(I402&lt;=IF(G402="",7,G402),"VENCE EM BREVE","No prazo"))))</f>
        <v/>
      </c>
      <c r="K402" s="15">
        <f>IF(OR(D402="",F402="",F402="Única"),"",EDATE(D402,IF(F402="Mensal",1,IF(F402="Trimestral",3,IF(F402="Semestral",6,12)))))</f>
        <v/>
      </c>
      <c r="L402" s="14" t="n"/>
    </row>
    <row r="403">
      <c r="A403" s="14" t="n"/>
      <c r="B403" s="14" t="n"/>
      <c r="C403" s="14" t="n"/>
      <c r="D403" s="15" t="n"/>
      <c r="E403" s="16" t="n"/>
      <c r="F403" s="14" t="n"/>
      <c r="G403" s="17" t="n"/>
      <c r="H403" s="14" t="n"/>
      <c r="I403" s="17">
        <f>IF(OR(A403="",D403="",H403="Feito"),"",D403-TODAY())</f>
        <v/>
      </c>
      <c r="J403" s="14">
        <f>IF(OR(A403="",D403=""),"",IF(H403="Feito","FEITO",IF(I403&lt;0,"VENCIDO",IF(I403&lt;=IF(G403="",7,G403),"VENCE EM BREVE","No prazo"))))</f>
        <v/>
      </c>
      <c r="K403" s="15">
        <f>IF(OR(D403="",F403="",F403="Única"),"",EDATE(D403,IF(F403="Mensal",1,IF(F403="Trimestral",3,IF(F403="Semestral",6,12)))))</f>
        <v/>
      </c>
      <c r="L403" s="14" t="n"/>
    </row>
    <row r="404">
      <c r="A404" s="14" t="n"/>
      <c r="B404" s="14" t="n"/>
      <c r="C404" s="14" t="n"/>
      <c r="D404" s="15" t="n"/>
      <c r="E404" s="16" t="n"/>
      <c r="F404" s="14" t="n"/>
      <c r="G404" s="17" t="n"/>
      <c r="H404" s="14" t="n"/>
      <c r="I404" s="17">
        <f>IF(OR(A404="",D404="",H404="Feito"),"",D404-TODAY())</f>
        <v/>
      </c>
      <c r="J404" s="14">
        <f>IF(OR(A404="",D404=""),"",IF(H404="Feito","FEITO",IF(I404&lt;0,"VENCIDO",IF(I404&lt;=IF(G404="",7,G404),"VENCE EM BREVE","No prazo"))))</f>
        <v/>
      </c>
      <c r="K404" s="15">
        <f>IF(OR(D404="",F404="",F404="Única"),"",EDATE(D404,IF(F404="Mensal",1,IF(F404="Trimestral",3,IF(F404="Semestral",6,12)))))</f>
        <v/>
      </c>
      <c r="L404" s="14" t="n"/>
    </row>
    <row r="405">
      <c r="A405" s="14" t="n"/>
      <c r="B405" s="14" t="n"/>
      <c r="C405" s="14" t="n"/>
      <c r="D405" s="15" t="n"/>
      <c r="E405" s="16" t="n"/>
      <c r="F405" s="14" t="n"/>
      <c r="G405" s="17" t="n"/>
      <c r="H405" s="14" t="n"/>
      <c r="I405" s="17">
        <f>IF(OR(A405="",D405="",H405="Feito"),"",D405-TODAY())</f>
        <v/>
      </c>
      <c r="J405" s="14">
        <f>IF(OR(A405="",D405=""),"",IF(H405="Feito","FEITO",IF(I405&lt;0,"VENCIDO",IF(I405&lt;=IF(G405="",7,G405),"VENCE EM BREVE","No prazo"))))</f>
        <v/>
      </c>
      <c r="K405" s="15">
        <f>IF(OR(D405="",F405="",F405="Única"),"",EDATE(D405,IF(F405="Mensal",1,IF(F405="Trimestral",3,IF(F405="Semestral",6,12)))))</f>
        <v/>
      </c>
      <c r="L405" s="14" t="n"/>
    </row>
    <row r="406">
      <c r="A406" s="14" t="n"/>
      <c r="B406" s="14" t="n"/>
      <c r="C406" s="14" t="n"/>
      <c r="D406" s="15" t="n"/>
      <c r="E406" s="16" t="n"/>
      <c r="F406" s="14" t="n"/>
      <c r="G406" s="17" t="n"/>
      <c r="H406" s="14" t="n"/>
      <c r="I406" s="17">
        <f>IF(OR(A406="",D406="",H406="Feito"),"",D406-TODAY())</f>
        <v/>
      </c>
      <c r="J406" s="14">
        <f>IF(OR(A406="",D406=""),"",IF(H406="Feito","FEITO",IF(I406&lt;0,"VENCIDO",IF(I406&lt;=IF(G406="",7,G406),"VENCE EM BREVE","No prazo"))))</f>
        <v/>
      </c>
      <c r="K406" s="15">
        <f>IF(OR(D406="",F406="",F406="Única"),"",EDATE(D406,IF(F406="Mensal",1,IF(F406="Trimestral",3,IF(F406="Semestral",6,12)))))</f>
        <v/>
      </c>
      <c r="L406" s="14" t="n"/>
    </row>
    <row r="407">
      <c r="A407" s="14" t="n"/>
      <c r="B407" s="14" t="n"/>
      <c r="C407" s="14" t="n"/>
      <c r="D407" s="15" t="n"/>
      <c r="E407" s="16" t="n"/>
      <c r="F407" s="14" t="n"/>
      <c r="G407" s="17" t="n"/>
      <c r="H407" s="14" t="n"/>
      <c r="I407" s="17">
        <f>IF(OR(A407="",D407="",H407="Feito"),"",D407-TODAY())</f>
        <v/>
      </c>
      <c r="J407" s="14">
        <f>IF(OR(A407="",D407=""),"",IF(H407="Feito","FEITO",IF(I407&lt;0,"VENCIDO",IF(I407&lt;=IF(G407="",7,G407),"VENCE EM BREVE","No prazo"))))</f>
        <v/>
      </c>
      <c r="K407" s="15">
        <f>IF(OR(D407="",F407="",F407="Única"),"",EDATE(D407,IF(F407="Mensal",1,IF(F407="Trimestral",3,IF(F407="Semestral",6,12)))))</f>
        <v/>
      </c>
      <c r="L407" s="14" t="n"/>
    </row>
    <row r="408">
      <c r="A408" s="14" t="n"/>
      <c r="B408" s="14" t="n"/>
      <c r="C408" s="14" t="n"/>
      <c r="D408" s="15" t="n"/>
      <c r="E408" s="16" t="n"/>
      <c r="F408" s="14" t="n"/>
      <c r="G408" s="17" t="n"/>
      <c r="H408" s="14" t="n"/>
      <c r="I408" s="17">
        <f>IF(OR(A408="",D408="",H408="Feito"),"",D408-TODAY())</f>
        <v/>
      </c>
      <c r="J408" s="14">
        <f>IF(OR(A408="",D408=""),"",IF(H408="Feito","FEITO",IF(I408&lt;0,"VENCIDO",IF(I408&lt;=IF(G408="",7,G408),"VENCE EM BREVE","No prazo"))))</f>
        <v/>
      </c>
      <c r="K408" s="15">
        <f>IF(OR(D408="",F408="",F408="Única"),"",EDATE(D408,IF(F408="Mensal",1,IF(F408="Trimestral",3,IF(F408="Semestral",6,12)))))</f>
        <v/>
      </c>
      <c r="L408" s="14" t="n"/>
    </row>
    <row r="409">
      <c r="A409" s="14" t="n"/>
      <c r="B409" s="14" t="n"/>
      <c r="C409" s="14" t="n"/>
      <c r="D409" s="15" t="n"/>
      <c r="E409" s="16" t="n"/>
      <c r="F409" s="14" t="n"/>
      <c r="G409" s="17" t="n"/>
      <c r="H409" s="14" t="n"/>
      <c r="I409" s="17">
        <f>IF(OR(A409="",D409="",H409="Feito"),"",D409-TODAY())</f>
        <v/>
      </c>
      <c r="J409" s="14">
        <f>IF(OR(A409="",D409=""),"",IF(H409="Feito","FEITO",IF(I409&lt;0,"VENCIDO",IF(I409&lt;=IF(G409="",7,G409),"VENCE EM BREVE","No prazo"))))</f>
        <v/>
      </c>
      <c r="K409" s="15">
        <f>IF(OR(D409="",F409="",F409="Única"),"",EDATE(D409,IF(F409="Mensal",1,IF(F409="Trimestral",3,IF(F409="Semestral",6,12)))))</f>
        <v/>
      </c>
      <c r="L409" s="14" t="n"/>
    </row>
    <row r="410">
      <c r="A410" s="14" t="n"/>
      <c r="B410" s="14" t="n"/>
      <c r="C410" s="14" t="n"/>
      <c r="D410" s="15" t="n"/>
      <c r="E410" s="16" t="n"/>
      <c r="F410" s="14" t="n"/>
      <c r="G410" s="17" t="n"/>
      <c r="H410" s="14" t="n"/>
      <c r="I410" s="17">
        <f>IF(OR(A410="",D410="",H410="Feito"),"",D410-TODAY())</f>
        <v/>
      </c>
      <c r="J410" s="14">
        <f>IF(OR(A410="",D410=""),"",IF(H410="Feito","FEITO",IF(I410&lt;0,"VENCIDO",IF(I410&lt;=IF(G410="",7,G410),"VENCE EM BREVE","No prazo"))))</f>
        <v/>
      </c>
      <c r="K410" s="15">
        <f>IF(OR(D410="",F410="",F410="Única"),"",EDATE(D410,IF(F410="Mensal",1,IF(F410="Trimestral",3,IF(F410="Semestral",6,12)))))</f>
        <v/>
      </c>
      <c r="L410" s="14" t="n"/>
    </row>
    <row r="411">
      <c r="A411" s="14" t="n"/>
      <c r="B411" s="14" t="n"/>
      <c r="C411" s="14" t="n"/>
      <c r="D411" s="15" t="n"/>
      <c r="E411" s="16" t="n"/>
      <c r="F411" s="14" t="n"/>
      <c r="G411" s="17" t="n"/>
      <c r="H411" s="14" t="n"/>
      <c r="I411" s="17">
        <f>IF(OR(A411="",D411="",H411="Feito"),"",D411-TODAY())</f>
        <v/>
      </c>
      <c r="J411" s="14">
        <f>IF(OR(A411="",D411=""),"",IF(H411="Feito","FEITO",IF(I411&lt;0,"VENCIDO",IF(I411&lt;=IF(G411="",7,G411),"VENCE EM BREVE","No prazo"))))</f>
        <v/>
      </c>
      <c r="K411" s="15">
        <f>IF(OR(D411="",F411="",F411="Única"),"",EDATE(D411,IF(F411="Mensal",1,IF(F411="Trimestral",3,IF(F411="Semestral",6,12)))))</f>
        <v/>
      </c>
      <c r="L411" s="14" t="n"/>
    </row>
    <row r="412">
      <c r="A412" s="14" t="n"/>
      <c r="B412" s="14" t="n"/>
      <c r="C412" s="14" t="n"/>
      <c r="D412" s="15" t="n"/>
      <c r="E412" s="16" t="n"/>
      <c r="F412" s="14" t="n"/>
      <c r="G412" s="17" t="n"/>
      <c r="H412" s="14" t="n"/>
      <c r="I412" s="17">
        <f>IF(OR(A412="",D412="",H412="Feito"),"",D412-TODAY())</f>
        <v/>
      </c>
      <c r="J412" s="14">
        <f>IF(OR(A412="",D412=""),"",IF(H412="Feito","FEITO",IF(I412&lt;0,"VENCIDO",IF(I412&lt;=IF(G412="",7,G412),"VENCE EM BREVE","No prazo"))))</f>
        <v/>
      </c>
      <c r="K412" s="15">
        <f>IF(OR(D412="",F412="",F412="Única"),"",EDATE(D412,IF(F412="Mensal",1,IF(F412="Trimestral",3,IF(F412="Semestral",6,12)))))</f>
        <v/>
      </c>
      <c r="L412" s="14" t="n"/>
    </row>
    <row r="413">
      <c r="A413" s="14" t="n"/>
      <c r="B413" s="14" t="n"/>
      <c r="C413" s="14" t="n"/>
      <c r="D413" s="15" t="n"/>
      <c r="E413" s="16" t="n"/>
      <c r="F413" s="14" t="n"/>
      <c r="G413" s="17" t="n"/>
      <c r="H413" s="14" t="n"/>
      <c r="I413" s="17">
        <f>IF(OR(A413="",D413="",H413="Feito"),"",D413-TODAY())</f>
        <v/>
      </c>
      <c r="J413" s="14">
        <f>IF(OR(A413="",D413=""),"",IF(H413="Feito","FEITO",IF(I413&lt;0,"VENCIDO",IF(I413&lt;=IF(G413="",7,G413),"VENCE EM BREVE","No prazo"))))</f>
        <v/>
      </c>
      <c r="K413" s="15">
        <f>IF(OR(D413="",F413="",F413="Única"),"",EDATE(D413,IF(F413="Mensal",1,IF(F413="Trimestral",3,IF(F413="Semestral",6,12)))))</f>
        <v/>
      </c>
      <c r="L413" s="14" t="n"/>
    </row>
    <row r="414">
      <c r="A414" s="14" t="n"/>
      <c r="B414" s="14" t="n"/>
      <c r="C414" s="14" t="n"/>
      <c r="D414" s="15" t="n"/>
      <c r="E414" s="16" t="n"/>
      <c r="F414" s="14" t="n"/>
      <c r="G414" s="17" t="n"/>
      <c r="H414" s="14" t="n"/>
      <c r="I414" s="17">
        <f>IF(OR(A414="",D414="",H414="Feito"),"",D414-TODAY())</f>
        <v/>
      </c>
      <c r="J414" s="14">
        <f>IF(OR(A414="",D414=""),"",IF(H414="Feito","FEITO",IF(I414&lt;0,"VENCIDO",IF(I414&lt;=IF(G414="",7,G414),"VENCE EM BREVE","No prazo"))))</f>
        <v/>
      </c>
      <c r="K414" s="15">
        <f>IF(OR(D414="",F414="",F414="Única"),"",EDATE(D414,IF(F414="Mensal",1,IF(F414="Trimestral",3,IF(F414="Semestral",6,12)))))</f>
        <v/>
      </c>
      <c r="L414" s="14" t="n"/>
    </row>
    <row r="415">
      <c r="A415" s="14" t="n"/>
      <c r="B415" s="14" t="n"/>
      <c r="C415" s="14" t="n"/>
      <c r="D415" s="15" t="n"/>
      <c r="E415" s="16" t="n"/>
      <c r="F415" s="14" t="n"/>
      <c r="G415" s="17" t="n"/>
      <c r="H415" s="14" t="n"/>
      <c r="I415" s="17">
        <f>IF(OR(A415="",D415="",H415="Feito"),"",D415-TODAY())</f>
        <v/>
      </c>
      <c r="J415" s="14">
        <f>IF(OR(A415="",D415=""),"",IF(H415="Feito","FEITO",IF(I415&lt;0,"VENCIDO",IF(I415&lt;=IF(G415="",7,G415),"VENCE EM BREVE","No prazo"))))</f>
        <v/>
      </c>
      <c r="K415" s="15">
        <f>IF(OR(D415="",F415="",F415="Única"),"",EDATE(D415,IF(F415="Mensal",1,IF(F415="Trimestral",3,IF(F415="Semestral",6,12)))))</f>
        <v/>
      </c>
      <c r="L415" s="14" t="n"/>
    </row>
    <row r="416">
      <c r="A416" s="14" t="n"/>
      <c r="B416" s="14" t="n"/>
      <c r="C416" s="14" t="n"/>
      <c r="D416" s="15" t="n"/>
      <c r="E416" s="16" t="n"/>
      <c r="F416" s="14" t="n"/>
      <c r="G416" s="17" t="n"/>
      <c r="H416" s="14" t="n"/>
      <c r="I416" s="17">
        <f>IF(OR(A416="",D416="",H416="Feito"),"",D416-TODAY())</f>
        <v/>
      </c>
      <c r="J416" s="14">
        <f>IF(OR(A416="",D416=""),"",IF(H416="Feito","FEITO",IF(I416&lt;0,"VENCIDO",IF(I416&lt;=IF(G416="",7,G416),"VENCE EM BREVE","No prazo"))))</f>
        <v/>
      </c>
      <c r="K416" s="15">
        <f>IF(OR(D416="",F416="",F416="Única"),"",EDATE(D416,IF(F416="Mensal",1,IF(F416="Trimestral",3,IF(F416="Semestral",6,12)))))</f>
        <v/>
      </c>
      <c r="L416" s="14" t="n"/>
    </row>
    <row r="417">
      <c r="A417" s="14" t="n"/>
      <c r="B417" s="14" t="n"/>
      <c r="C417" s="14" t="n"/>
      <c r="D417" s="15" t="n"/>
      <c r="E417" s="16" t="n"/>
      <c r="F417" s="14" t="n"/>
      <c r="G417" s="17" t="n"/>
      <c r="H417" s="14" t="n"/>
      <c r="I417" s="17">
        <f>IF(OR(A417="",D417="",H417="Feito"),"",D417-TODAY())</f>
        <v/>
      </c>
      <c r="J417" s="14">
        <f>IF(OR(A417="",D417=""),"",IF(H417="Feito","FEITO",IF(I417&lt;0,"VENCIDO",IF(I417&lt;=IF(G417="",7,G417),"VENCE EM BREVE","No prazo"))))</f>
        <v/>
      </c>
      <c r="K417" s="15">
        <f>IF(OR(D417="",F417="",F417="Única"),"",EDATE(D417,IF(F417="Mensal",1,IF(F417="Trimestral",3,IF(F417="Semestral",6,12)))))</f>
        <v/>
      </c>
      <c r="L417" s="14" t="n"/>
    </row>
    <row r="418">
      <c r="A418" s="14" t="n"/>
      <c r="B418" s="14" t="n"/>
      <c r="C418" s="14" t="n"/>
      <c r="D418" s="15" t="n"/>
      <c r="E418" s="16" t="n"/>
      <c r="F418" s="14" t="n"/>
      <c r="G418" s="17" t="n"/>
      <c r="H418" s="14" t="n"/>
      <c r="I418" s="17">
        <f>IF(OR(A418="",D418="",H418="Feito"),"",D418-TODAY())</f>
        <v/>
      </c>
      <c r="J418" s="14">
        <f>IF(OR(A418="",D418=""),"",IF(H418="Feito","FEITO",IF(I418&lt;0,"VENCIDO",IF(I418&lt;=IF(G418="",7,G418),"VENCE EM BREVE","No prazo"))))</f>
        <v/>
      </c>
      <c r="K418" s="15">
        <f>IF(OR(D418="",F418="",F418="Única"),"",EDATE(D418,IF(F418="Mensal",1,IF(F418="Trimestral",3,IF(F418="Semestral",6,12)))))</f>
        <v/>
      </c>
      <c r="L418" s="14" t="n"/>
    </row>
    <row r="419">
      <c r="A419" s="14" t="n"/>
      <c r="B419" s="14" t="n"/>
      <c r="C419" s="14" t="n"/>
      <c r="D419" s="15" t="n"/>
      <c r="E419" s="16" t="n"/>
      <c r="F419" s="14" t="n"/>
      <c r="G419" s="17" t="n"/>
      <c r="H419" s="14" t="n"/>
      <c r="I419" s="17">
        <f>IF(OR(A419="",D419="",H419="Feito"),"",D419-TODAY())</f>
        <v/>
      </c>
      <c r="J419" s="14">
        <f>IF(OR(A419="",D419=""),"",IF(H419="Feito","FEITO",IF(I419&lt;0,"VENCIDO",IF(I419&lt;=IF(G419="",7,G419),"VENCE EM BREVE","No prazo"))))</f>
        <v/>
      </c>
      <c r="K419" s="15">
        <f>IF(OR(D419="",F419="",F419="Única"),"",EDATE(D419,IF(F419="Mensal",1,IF(F419="Trimestral",3,IF(F419="Semestral",6,12)))))</f>
        <v/>
      </c>
      <c r="L419" s="14" t="n"/>
    </row>
    <row r="420">
      <c r="A420" s="14" t="n"/>
      <c r="B420" s="14" t="n"/>
      <c r="C420" s="14" t="n"/>
      <c r="D420" s="15" t="n"/>
      <c r="E420" s="16" t="n"/>
      <c r="F420" s="14" t="n"/>
      <c r="G420" s="17" t="n"/>
      <c r="H420" s="14" t="n"/>
      <c r="I420" s="17">
        <f>IF(OR(A420="",D420="",H420="Feito"),"",D420-TODAY())</f>
        <v/>
      </c>
      <c r="J420" s="14">
        <f>IF(OR(A420="",D420=""),"",IF(H420="Feito","FEITO",IF(I420&lt;0,"VENCIDO",IF(I420&lt;=IF(G420="",7,G420),"VENCE EM BREVE","No prazo"))))</f>
        <v/>
      </c>
      <c r="K420" s="15">
        <f>IF(OR(D420="",F420="",F420="Única"),"",EDATE(D420,IF(F420="Mensal",1,IF(F420="Trimestral",3,IF(F420="Semestral",6,12)))))</f>
        <v/>
      </c>
      <c r="L420" s="14" t="n"/>
    </row>
    <row r="421">
      <c r="A421" s="14" t="n"/>
      <c r="B421" s="14" t="n"/>
      <c r="C421" s="14" t="n"/>
      <c r="D421" s="15" t="n"/>
      <c r="E421" s="16" t="n"/>
      <c r="F421" s="14" t="n"/>
      <c r="G421" s="17" t="n"/>
      <c r="H421" s="14" t="n"/>
      <c r="I421" s="17">
        <f>IF(OR(A421="",D421="",H421="Feito"),"",D421-TODAY())</f>
        <v/>
      </c>
      <c r="J421" s="14">
        <f>IF(OR(A421="",D421=""),"",IF(H421="Feito","FEITO",IF(I421&lt;0,"VENCIDO",IF(I421&lt;=IF(G421="",7,G421),"VENCE EM BREVE","No prazo"))))</f>
        <v/>
      </c>
      <c r="K421" s="15">
        <f>IF(OR(D421="",F421="",F421="Única"),"",EDATE(D421,IF(F421="Mensal",1,IF(F421="Trimestral",3,IF(F421="Semestral",6,12)))))</f>
        <v/>
      </c>
      <c r="L421" s="14" t="n"/>
    </row>
    <row r="422">
      <c r="A422" s="14" t="n"/>
      <c r="B422" s="14" t="n"/>
      <c r="C422" s="14" t="n"/>
      <c r="D422" s="15" t="n"/>
      <c r="E422" s="16" t="n"/>
      <c r="F422" s="14" t="n"/>
      <c r="G422" s="17" t="n"/>
      <c r="H422" s="14" t="n"/>
      <c r="I422" s="17">
        <f>IF(OR(A422="",D422="",H422="Feito"),"",D422-TODAY())</f>
        <v/>
      </c>
      <c r="J422" s="14">
        <f>IF(OR(A422="",D422=""),"",IF(H422="Feito","FEITO",IF(I422&lt;0,"VENCIDO",IF(I422&lt;=IF(G422="",7,G422),"VENCE EM BREVE","No prazo"))))</f>
        <v/>
      </c>
      <c r="K422" s="15">
        <f>IF(OR(D422="",F422="",F422="Única"),"",EDATE(D422,IF(F422="Mensal",1,IF(F422="Trimestral",3,IF(F422="Semestral",6,12)))))</f>
        <v/>
      </c>
      <c r="L422" s="14" t="n"/>
    </row>
    <row r="423">
      <c r="A423" s="14" t="n"/>
      <c r="B423" s="14" t="n"/>
      <c r="C423" s="14" t="n"/>
      <c r="D423" s="15" t="n"/>
      <c r="E423" s="16" t="n"/>
      <c r="F423" s="14" t="n"/>
      <c r="G423" s="17" t="n"/>
      <c r="H423" s="14" t="n"/>
      <c r="I423" s="17">
        <f>IF(OR(A423="",D423="",H423="Feito"),"",D423-TODAY())</f>
        <v/>
      </c>
      <c r="J423" s="14">
        <f>IF(OR(A423="",D423=""),"",IF(H423="Feito","FEITO",IF(I423&lt;0,"VENCIDO",IF(I423&lt;=IF(G423="",7,G423),"VENCE EM BREVE","No prazo"))))</f>
        <v/>
      </c>
      <c r="K423" s="15">
        <f>IF(OR(D423="",F423="",F423="Única"),"",EDATE(D423,IF(F423="Mensal",1,IF(F423="Trimestral",3,IF(F423="Semestral",6,12)))))</f>
        <v/>
      </c>
      <c r="L423" s="14" t="n"/>
    </row>
    <row r="424">
      <c r="A424" s="14" t="n"/>
      <c r="B424" s="14" t="n"/>
      <c r="C424" s="14" t="n"/>
      <c r="D424" s="15" t="n"/>
      <c r="E424" s="16" t="n"/>
      <c r="F424" s="14" t="n"/>
      <c r="G424" s="17" t="n"/>
      <c r="H424" s="14" t="n"/>
      <c r="I424" s="17">
        <f>IF(OR(A424="",D424="",H424="Feito"),"",D424-TODAY())</f>
        <v/>
      </c>
      <c r="J424" s="14">
        <f>IF(OR(A424="",D424=""),"",IF(H424="Feito","FEITO",IF(I424&lt;0,"VENCIDO",IF(I424&lt;=IF(G424="",7,G424),"VENCE EM BREVE","No prazo"))))</f>
        <v/>
      </c>
      <c r="K424" s="15">
        <f>IF(OR(D424="",F424="",F424="Única"),"",EDATE(D424,IF(F424="Mensal",1,IF(F424="Trimestral",3,IF(F424="Semestral",6,12)))))</f>
        <v/>
      </c>
      <c r="L424" s="14" t="n"/>
    </row>
    <row r="425">
      <c r="A425" s="14" t="n"/>
      <c r="B425" s="14" t="n"/>
      <c r="C425" s="14" t="n"/>
      <c r="D425" s="15" t="n"/>
      <c r="E425" s="16" t="n"/>
      <c r="F425" s="14" t="n"/>
      <c r="G425" s="17" t="n"/>
      <c r="H425" s="14" t="n"/>
      <c r="I425" s="17">
        <f>IF(OR(A425="",D425="",H425="Feito"),"",D425-TODAY())</f>
        <v/>
      </c>
      <c r="J425" s="14">
        <f>IF(OR(A425="",D425=""),"",IF(H425="Feito","FEITO",IF(I425&lt;0,"VENCIDO",IF(I425&lt;=IF(G425="",7,G425),"VENCE EM BREVE","No prazo"))))</f>
        <v/>
      </c>
      <c r="K425" s="15">
        <f>IF(OR(D425="",F425="",F425="Única"),"",EDATE(D425,IF(F425="Mensal",1,IF(F425="Trimestral",3,IF(F425="Semestral",6,12)))))</f>
        <v/>
      </c>
      <c r="L425" s="14" t="n"/>
    </row>
    <row r="426">
      <c r="A426" s="14" t="n"/>
      <c r="B426" s="14" t="n"/>
      <c r="C426" s="14" t="n"/>
      <c r="D426" s="15" t="n"/>
      <c r="E426" s="16" t="n"/>
      <c r="F426" s="14" t="n"/>
      <c r="G426" s="17" t="n"/>
      <c r="H426" s="14" t="n"/>
      <c r="I426" s="17">
        <f>IF(OR(A426="",D426="",H426="Feito"),"",D426-TODAY())</f>
        <v/>
      </c>
      <c r="J426" s="14">
        <f>IF(OR(A426="",D426=""),"",IF(H426="Feito","FEITO",IF(I426&lt;0,"VENCIDO",IF(I426&lt;=IF(G426="",7,G426),"VENCE EM BREVE","No prazo"))))</f>
        <v/>
      </c>
      <c r="K426" s="15">
        <f>IF(OR(D426="",F426="",F426="Única"),"",EDATE(D426,IF(F426="Mensal",1,IF(F426="Trimestral",3,IF(F426="Semestral",6,12)))))</f>
        <v/>
      </c>
      <c r="L426" s="14" t="n"/>
    </row>
    <row r="427">
      <c r="A427" s="14" t="n"/>
      <c r="B427" s="14" t="n"/>
      <c r="C427" s="14" t="n"/>
      <c r="D427" s="15" t="n"/>
      <c r="E427" s="16" t="n"/>
      <c r="F427" s="14" t="n"/>
      <c r="G427" s="17" t="n"/>
      <c r="H427" s="14" t="n"/>
      <c r="I427" s="17">
        <f>IF(OR(A427="",D427="",H427="Feito"),"",D427-TODAY())</f>
        <v/>
      </c>
      <c r="J427" s="14">
        <f>IF(OR(A427="",D427=""),"",IF(H427="Feito","FEITO",IF(I427&lt;0,"VENCIDO",IF(I427&lt;=IF(G427="",7,G427),"VENCE EM BREVE","No prazo"))))</f>
        <v/>
      </c>
      <c r="K427" s="15">
        <f>IF(OR(D427="",F427="",F427="Única"),"",EDATE(D427,IF(F427="Mensal",1,IF(F427="Trimestral",3,IF(F427="Semestral",6,12)))))</f>
        <v/>
      </c>
      <c r="L427" s="14" t="n"/>
    </row>
    <row r="428">
      <c r="A428" s="14" t="n"/>
      <c r="B428" s="14" t="n"/>
      <c r="C428" s="14" t="n"/>
      <c r="D428" s="15" t="n"/>
      <c r="E428" s="16" t="n"/>
      <c r="F428" s="14" t="n"/>
      <c r="G428" s="17" t="n"/>
      <c r="H428" s="14" t="n"/>
      <c r="I428" s="17">
        <f>IF(OR(A428="",D428="",H428="Feito"),"",D428-TODAY())</f>
        <v/>
      </c>
      <c r="J428" s="14">
        <f>IF(OR(A428="",D428=""),"",IF(H428="Feito","FEITO",IF(I428&lt;0,"VENCIDO",IF(I428&lt;=IF(G428="",7,G428),"VENCE EM BREVE","No prazo"))))</f>
        <v/>
      </c>
      <c r="K428" s="15">
        <f>IF(OR(D428="",F428="",F428="Única"),"",EDATE(D428,IF(F428="Mensal",1,IF(F428="Trimestral",3,IF(F428="Semestral",6,12)))))</f>
        <v/>
      </c>
      <c r="L428" s="14" t="n"/>
    </row>
    <row r="429">
      <c r="A429" s="14" t="n"/>
      <c r="B429" s="14" t="n"/>
      <c r="C429" s="14" t="n"/>
      <c r="D429" s="15" t="n"/>
      <c r="E429" s="16" t="n"/>
      <c r="F429" s="14" t="n"/>
      <c r="G429" s="17" t="n"/>
      <c r="H429" s="14" t="n"/>
      <c r="I429" s="17">
        <f>IF(OR(A429="",D429="",H429="Feito"),"",D429-TODAY())</f>
        <v/>
      </c>
      <c r="J429" s="14">
        <f>IF(OR(A429="",D429=""),"",IF(H429="Feito","FEITO",IF(I429&lt;0,"VENCIDO",IF(I429&lt;=IF(G429="",7,G429),"VENCE EM BREVE","No prazo"))))</f>
        <v/>
      </c>
      <c r="K429" s="15">
        <f>IF(OR(D429="",F429="",F429="Única"),"",EDATE(D429,IF(F429="Mensal",1,IF(F429="Trimestral",3,IF(F429="Semestral",6,12)))))</f>
        <v/>
      </c>
      <c r="L429" s="14" t="n"/>
    </row>
    <row r="430">
      <c r="A430" s="14" t="n"/>
      <c r="B430" s="14" t="n"/>
      <c r="C430" s="14" t="n"/>
      <c r="D430" s="15" t="n"/>
      <c r="E430" s="16" t="n"/>
      <c r="F430" s="14" t="n"/>
      <c r="G430" s="17" t="n"/>
      <c r="H430" s="14" t="n"/>
      <c r="I430" s="17">
        <f>IF(OR(A430="",D430="",H430="Feito"),"",D430-TODAY())</f>
        <v/>
      </c>
      <c r="J430" s="14">
        <f>IF(OR(A430="",D430=""),"",IF(H430="Feito","FEITO",IF(I430&lt;0,"VENCIDO",IF(I430&lt;=IF(G430="",7,G430),"VENCE EM BREVE","No prazo"))))</f>
        <v/>
      </c>
      <c r="K430" s="15">
        <f>IF(OR(D430="",F430="",F430="Única"),"",EDATE(D430,IF(F430="Mensal",1,IF(F430="Trimestral",3,IF(F430="Semestral",6,12)))))</f>
        <v/>
      </c>
      <c r="L430" s="14" t="n"/>
    </row>
    <row r="431">
      <c r="A431" s="14" t="n"/>
      <c r="B431" s="14" t="n"/>
      <c r="C431" s="14" t="n"/>
      <c r="D431" s="15" t="n"/>
      <c r="E431" s="16" t="n"/>
      <c r="F431" s="14" t="n"/>
      <c r="G431" s="17" t="n"/>
      <c r="H431" s="14" t="n"/>
      <c r="I431" s="17">
        <f>IF(OR(A431="",D431="",H431="Feito"),"",D431-TODAY())</f>
        <v/>
      </c>
      <c r="J431" s="14">
        <f>IF(OR(A431="",D431=""),"",IF(H431="Feito","FEITO",IF(I431&lt;0,"VENCIDO",IF(I431&lt;=IF(G431="",7,G431),"VENCE EM BREVE","No prazo"))))</f>
        <v/>
      </c>
      <c r="K431" s="15">
        <f>IF(OR(D431="",F431="",F431="Única"),"",EDATE(D431,IF(F431="Mensal",1,IF(F431="Trimestral",3,IF(F431="Semestral",6,12)))))</f>
        <v/>
      </c>
      <c r="L431" s="14" t="n"/>
    </row>
    <row r="432">
      <c r="A432" s="14" t="n"/>
      <c r="B432" s="14" t="n"/>
      <c r="C432" s="14" t="n"/>
      <c r="D432" s="15" t="n"/>
      <c r="E432" s="16" t="n"/>
      <c r="F432" s="14" t="n"/>
      <c r="G432" s="17" t="n"/>
      <c r="H432" s="14" t="n"/>
      <c r="I432" s="17">
        <f>IF(OR(A432="",D432="",H432="Feito"),"",D432-TODAY())</f>
        <v/>
      </c>
      <c r="J432" s="14">
        <f>IF(OR(A432="",D432=""),"",IF(H432="Feito","FEITO",IF(I432&lt;0,"VENCIDO",IF(I432&lt;=IF(G432="",7,G432),"VENCE EM BREVE","No prazo"))))</f>
        <v/>
      </c>
      <c r="K432" s="15">
        <f>IF(OR(D432="",F432="",F432="Única"),"",EDATE(D432,IF(F432="Mensal",1,IF(F432="Trimestral",3,IF(F432="Semestral",6,12)))))</f>
        <v/>
      </c>
      <c r="L432" s="14" t="n"/>
    </row>
    <row r="433">
      <c r="A433" s="14" t="n"/>
      <c r="B433" s="14" t="n"/>
      <c r="C433" s="14" t="n"/>
      <c r="D433" s="15" t="n"/>
      <c r="E433" s="16" t="n"/>
      <c r="F433" s="14" t="n"/>
      <c r="G433" s="17" t="n"/>
      <c r="H433" s="14" t="n"/>
      <c r="I433" s="17">
        <f>IF(OR(A433="",D433="",H433="Feito"),"",D433-TODAY())</f>
        <v/>
      </c>
      <c r="J433" s="14">
        <f>IF(OR(A433="",D433=""),"",IF(H433="Feito","FEITO",IF(I433&lt;0,"VENCIDO",IF(I433&lt;=IF(G433="",7,G433),"VENCE EM BREVE","No prazo"))))</f>
        <v/>
      </c>
      <c r="K433" s="15">
        <f>IF(OR(D433="",F433="",F433="Única"),"",EDATE(D433,IF(F433="Mensal",1,IF(F433="Trimestral",3,IF(F433="Semestral",6,12)))))</f>
        <v/>
      </c>
      <c r="L433" s="14" t="n"/>
    </row>
    <row r="434">
      <c r="A434" s="14" t="n"/>
      <c r="B434" s="14" t="n"/>
      <c r="C434" s="14" t="n"/>
      <c r="D434" s="15" t="n"/>
      <c r="E434" s="16" t="n"/>
      <c r="F434" s="14" t="n"/>
      <c r="G434" s="17" t="n"/>
      <c r="H434" s="14" t="n"/>
      <c r="I434" s="17">
        <f>IF(OR(A434="",D434="",H434="Feito"),"",D434-TODAY())</f>
        <v/>
      </c>
      <c r="J434" s="14">
        <f>IF(OR(A434="",D434=""),"",IF(H434="Feito","FEITO",IF(I434&lt;0,"VENCIDO",IF(I434&lt;=IF(G434="",7,G434),"VENCE EM BREVE","No prazo"))))</f>
        <v/>
      </c>
      <c r="K434" s="15">
        <f>IF(OR(D434="",F434="",F434="Única"),"",EDATE(D434,IF(F434="Mensal",1,IF(F434="Trimestral",3,IF(F434="Semestral",6,12)))))</f>
        <v/>
      </c>
      <c r="L434" s="14" t="n"/>
    </row>
    <row r="435">
      <c r="A435" s="14" t="n"/>
      <c r="B435" s="14" t="n"/>
      <c r="C435" s="14" t="n"/>
      <c r="D435" s="15" t="n"/>
      <c r="E435" s="16" t="n"/>
      <c r="F435" s="14" t="n"/>
      <c r="G435" s="17" t="n"/>
      <c r="H435" s="14" t="n"/>
      <c r="I435" s="17">
        <f>IF(OR(A435="",D435="",H435="Feito"),"",D435-TODAY())</f>
        <v/>
      </c>
      <c r="J435" s="14">
        <f>IF(OR(A435="",D435=""),"",IF(H435="Feito","FEITO",IF(I435&lt;0,"VENCIDO",IF(I435&lt;=IF(G435="",7,G435),"VENCE EM BREVE","No prazo"))))</f>
        <v/>
      </c>
      <c r="K435" s="15">
        <f>IF(OR(D435="",F435="",F435="Única"),"",EDATE(D435,IF(F435="Mensal",1,IF(F435="Trimestral",3,IF(F435="Semestral",6,12)))))</f>
        <v/>
      </c>
      <c r="L435" s="14" t="n"/>
    </row>
    <row r="436">
      <c r="A436" s="14" t="n"/>
      <c r="B436" s="14" t="n"/>
      <c r="C436" s="14" t="n"/>
      <c r="D436" s="15" t="n"/>
      <c r="E436" s="16" t="n"/>
      <c r="F436" s="14" t="n"/>
      <c r="G436" s="17" t="n"/>
      <c r="H436" s="14" t="n"/>
      <c r="I436" s="17">
        <f>IF(OR(A436="",D436="",H436="Feito"),"",D436-TODAY())</f>
        <v/>
      </c>
      <c r="J436" s="14">
        <f>IF(OR(A436="",D436=""),"",IF(H436="Feito","FEITO",IF(I436&lt;0,"VENCIDO",IF(I436&lt;=IF(G436="",7,G436),"VENCE EM BREVE","No prazo"))))</f>
        <v/>
      </c>
      <c r="K436" s="15">
        <f>IF(OR(D436="",F436="",F436="Única"),"",EDATE(D436,IF(F436="Mensal",1,IF(F436="Trimestral",3,IF(F436="Semestral",6,12)))))</f>
        <v/>
      </c>
      <c r="L436" s="14" t="n"/>
    </row>
    <row r="437">
      <c r="A437" s="14" t="n"/>
      <c r="B437" s="14" t="n"/>
      <c r="C437" s="14" t="n"/>
      <c r="D437" s="15" t="n"/>
      <c r="E437" s="16" t="n"/>
      <c r="F437" s="14" t="n"/>
      <c r="G437" s="17" t="n"/>
      <c r="H437" s="14" t="n"/>
      <c r="I437" s="17">
        <f>IF(OR(A437="",D437="",H437="Feito"),"",D437-TODAY())</f>
        <v/>
      </c>
      <c r="J437" s="14">
        <f>IF(OR(A437="",D437=""),"",IF(H437="Feito","FEITO",IF(I437&lt;0,"VENCIDO",IF(I437&lt;=IF(G437="",7,G437),"VENCE EM BREVE","No prazo"))))</f>
        <v/>
      </c>
      <c r="K437" s="15">
        <f>IF(OR(D437="",F437="",F437="Única"),"",EDATE(D437,IF(F437="Mensal",1,IF(F437="Trimestral",3,IF(F437="Semestral",6,12)))))</f>
        <v/>
      </c>
      <c r="L437" s="14" t="n"/>
    </row>
    <row r="438">
      <c r="A438" s="14" t="n"/>
      <c r="B438" s="14" t="n"/>
      <c r="C438" s="14" t="n"/>
      <c r="D438" s="15" t="n"/>
      <c r="E438" s="16" t="n"/>
      <c r="F438" s="14" t="n"/>
      <c r="G438" s="17" t="n"/>
      <c r="H438" s="14" t="n"/>
      <c r="I438" s="17">
        <f>IF(OR(A438="",D438="",H438="Feito"),"",D438-TODAY())</f>
        <v/>
      </c>
      <c r="J438" s="14">
        <f>IF(OR(A438="",D438=""),"",IF(H438="Feito","FEITO",IF(I438&lt;0,"VENCIDO",IF(I438&lt;=IF(G438="",7,G438),"VENCE EM BREVE","No prazo"))))</f>
        <v/>
      </c>
      <c r="K438" s="15">
        <f>IF(OR(D438="",F438="",F438="Única"),"",EDATE(D438,IF(F438="Mensal",1,IF(F438="Trimestral",3,IF(F438="Semestral",6,12)))))</f>
        <v/>
      </c>
      <c r="L438" s="14" t="n"/>
    </row>
    <row r="439">
      <c r="A439" s="14" t="n"/>
      <c r="B439" s="14" t="n"/>
      <c r="C439" s="14" t="n"/>
      <c r="D439" s="15" t="n"/>
      <c r="E439" s="16" t="n"/>
      <c r="F439" s="14" t="n"/>
      <c r="G439" s="17" t="n"/>
      <c r="H439" s="14" t="n"/>
      <c r="I439" s="17">
        <f>IF(OR(A439="",D439="",H439="Feito"),"",D439-TODAY())</f>
        <v/>
      </c>
      <c r="J439" s="14">
        <f>IF(OR(A439="",D439=""),"",IF(H439="Feito","FEITO",IF(I439&lt;0,"VENCIDO",IF(I439&lt;=IF(G439="",7,G439),"VENCE EM BREVE","No prazo"))))</f>
        <v/>
      </c>
      <c r="K439" s="15">
        <f>IF(OR(D439="",F439="",F439="Única"),"",EDATE(D439,IF(F439="Mensal",1,IF(F439="Trimestral",3,IF(F439="Semestral",6,12)))))</f>
        <v/>
      </c>
      <c r="L439" s="14" t="n"/>
    </row>
    <row r="440">
      <c r="A440" s="14" t="n"/>
      <c r="B440" s="14" t="n"/>
      <c r="C440" s="14" t="n"/>
      <c r="D440" s="15" t="n"/>
      <c r="E440" s="16" t="n"/>
      <c r="F440" s="14" t="n"/>
      <c r="G440" s="17" t="n"/>
      <c r="H440" s="14" t="n"/>
      <c r="I440" s="17">
        <f>IF(OR(A440="",D440="",H440="Feito"),"",D440-TODAY())</f>
        <v/>
      </c>
      <c r="J440" s="14">
        <f>IF(OR(A440="",D440=""),"",IF(H440="Feito","FEITO",IF(I440&lt;0,"VENCIDO",IF(I440&lt;=IF(G440="",7,G440),"VENCE EM BREVE","No prazo"))))</f>
        <v/>
      </c>
      <c r="K440" s="15">
        <f>IF(OR(D440="",F440="",F440="Única"),"",EDATE(D440,IF(F440="Mensal",1,IF(F440="Trimestral",3,IF(F440="Semestral",6,12)))))</f>
        <v/>
      </c>
      <c r="L440" s="14" t="n"/>
    </row>
    <row r="441">
      <c r="A441" s="14" t="n"/>
      <c r="B441" s="14" t="n"/>
      <c r="C441" s="14" t="n"/>
      <c r="D441" s="15" t="n"/>
      <c r="E441" s="16" t="n"/>
      <c r="F441" s="14" t="n"/>
      <c r="G441" s="17" t="n"/>
      <c r="H441" s="14" t="n"/>
      <c r="I441" s="17">
        <f>IF(OR(A441="",D441="",H441="Feito"),"",D441-TODAY())</f>
        <v/>
      </c>
      <c r="J441" s="14">
        <f>IF(OR(A441="",D441=""),"",IF(H441="Feito","FEITO",IF(I441&lt;0,"VENCIDO",IF(I441&lt;=IF(G441="",7,G441),"VENCE EM BREVE","No prazo"))))</f>
        <v/>
      </c>
      <c r="K441" s="15">
        <f>IF(OR(D441="",F441="",F441="Única"),"",EDATE(D441,IF(F441="Mensal",1,IF(F441="Trimestral",3,IF(F441="Semestral",6,12)))))</f>
        <v/>
      </c>
      <c r="L441" s="14" t="n"/>
    </row>
    <row r="442">
      <c r="A442" s="14" t="n"/>
      <c r="B442" s="14" t="n"/>
      <c r="C442" s="14" t="n"/>
      <c r="D442" s="15" t="n"/>
      <c r="E442" s="16" t="n"/>
      <c r="F442" s="14" t="n"/>
      <c r="G442" s="17" t="n"/>
      <c r="H442" s="14" t="n"/>
      <c r="I442" s="17">
        <f>IF(OR(A442="",D442="",H442="Feito"),"",D442-TODAY())</f>
        <v/>
      </c>
      <c r="J442" s="14">
        <f>IF(OR(A442="",D442=""),"",IF(H442="Feito","FEITO",IF(I442&lt;0,"VENCIDO",IF(I442&lt;=IF(G442="",7,G442),"VENCE EM BREVE","No prazo"))))</f>
        <v/>
      </c>
      <c r="K442" s="15">
        <f>IF(OR(D442="",F442="",F442="Única"),"",EDATE(D442,IF(F442="Mensal",1,IF(F442="Trimestral",3,IF(F442="Semestral",6,12)))))</f>
        <v/>
      </c>
      <c r="L442" s="14" t="n"/>
    </row>
    <row r="443">
      <c r="A443" s="14" t="n"/>
      <c r="B443" s="14" t="n"/>
      <c r="C443" s="14" t="n"/>
      <c r="D443" s="15" t="n"/>
      <c r="E443" s="16" t="n"/>
      <c r="F443" s="14" t="n"/>
      <c r="G443" s="17" t="n"/>
      <c r="H443" s="14" t="n"/>
      <c r="I443" s="17">
        <f>IF(OR(A443="",D443="",H443="Feito"),"",D443-TODAY())</f>
        <v/>
      </c>
      <c r="J443" s="14">
        <f>IF(OR(A443="",D443=""),"",IF(H443="Feito","FEITO",IF(I443&lt;0,"VENCIDO",IF(I443&lt;=IF(G443="",7,G443),"VENCE EM BREVE","No prazo"))))</f>
        <v/>
      </c>
      <c r="K443" s="15">
        <f>IF(OR(D443="",F443="",F443="Única"),"",EDATE(D443,IF(F443="Mensal",1,IF(F443="Trimestral",3,IF(F443="Semestral",6,12)))))</f>
        <v/>
      </c>
      <c r="L443" s="14" t="n"/>
    </row>
    <row r="444">
      <c r="A444" s="14" t="n"/>
      <c r="B444" s="14" t="n"/>
      <c r="C444" s="14" t="n"/>
      <c r="D444" s="15" t="n"/>
      <c r="E444" s="16" t="n"/>
      <c r="F444" s="14" t="n"/>
      <c r="G444" s="17" t="n"/>
      <c r="H444" s="14" t="n"/>
      <c r="I444" s="17">
        <f>IF(OR(A444="",D444="",H444="Feito"),"",D444-TODAY())</f>
        <v/>
      </c>
      <c r="J444" s="14">
        <f>IF(OR(A444="",D444=""),"",IF(H444="Feito","FEITO",IF(I444&lt;0,"VENCIDO",IF(I444&lt;=IF(G444="",7,G444),"VENCE EM BREVE","No prazo"))))</f>
        <v/>
      </c>
      <c r="K444" s="15">
        <f>IF(OR(D444="",F444="",F444="Única"),"",EDATE(D444,IF(F444="Mensal",1,IF(F444="Trimestral",3,IF(F444="Semestral",6,12)))))</f>
        <v/>
      </c>
      <c r="L444" s="14" t="n"/>
    </row>
    <row r="445">
      <c r="A445" s="14" t="n"/>
      <c r="B445" s="14" t="n"/>
      <c r="C445" s="14" t="n"/>
      <c r="D445" s="15" t="n"/>
      <c r="E445" s="16" t="n"/>
      <c r="F445" s="14" t="n"/>
      <c r="G445" s="17" t="n"/>
      <c r="H445" s="14" t="n"/>
      <c r="I445" s="17">
        <f>IF(OR(A445="",D445="",H445="Feito"),"",D445-TODAY())</f>
        <v/>
      </c>
      <c r="J445" s="14">
        <f>IF(OR(A445="",D445=""),"",IF(H445="Feito","FEITO",IF(I445&lt;0,"VENCIDO",IF(I445&lt;=IF(G445="",7,G445),"VENCE EM BREVE","No prazo"))))</f>
        <v/>
      </c>
      <c r="K445" s="15">
        <f>IF(OR(D445="",F445="",F445="Única"),"",EDATE(D445,IF(F445="Mensal",1,IF(F445="Trimestral",3,IF(F445="Semestral",6,12)))))</f>
        <v/>
      </c>
      <c r="L445" s="14" t="n"/>
    </row>
    <row r="446">
      <c r="A446" s="14" t="n"/>
      <c r="B446" s="14" t="n"/>
      <c r="C446" s="14" t="n"/>
      <c r="D446" s="15" t="n"/>
      <c r="E446" s="16" t="n"/>
      <c r="F446" s="14" t="n"/>
      <c r="G446" s="17" t="n"/>
      <c r="H446" s="14" t="n"/>
      <c r="I446" s="17">
        <f>IF(OR(A446="",D446="",H446="Feito"),"",D446-TODAY())</f>
        <v/>
      </c>
      <c r="J446" s="14">
        <f>IF(OR(A446="",D446=""),"",IF(H446="Feito","FEITO",IF(I446&lt;0,"VENCIDO",IF(I446&lt;=IF(G446="",7,G446),"VENCE EM BREVE","No prazo"))))</f>
        <v/>
      </c>
      <c r="K446" s="15">
        <f>IF(OR(D446="",F446="",F446="Única"),"",EDATE(D446,IF(F446="Mensal",1,IF(F446="Trimestral",3,IF(F446="Semestral",6,12)))))</f>
        <v/>
      </c>
      <c r="L446" s="14" t="n"/>
    </row>
    <row r="447">
      <c r="A447" s="14" t="n"/>
      <c r="B447" s="14" t="n"/>
      <c r="C447" s="14" t="n"/>
      <c r="D447" s="15" t="n"/>
      <c r="E447" s="16" t="n"/>
      <c r="F447" s="14" t="n"/>
      <c r="G447" s="17" t="n"/>
      <c r="H447" s="14" t="n"/>
      <c r="I447" s="17">
        <f>IF(OR(A447="",D447="",H447="Feito"),"",D447-TODAY())</f>
        <v/>
      </c>
      <c r="J447" s="14">
        <f>IF(OR(A447="",D447=""),"",IF(H447="Feito","FEITO",IF(I447&lt;0,"VENCIDO",IF(I447&lt;=IF(G447="",7,G447),"VENCE EM BREVE","No prazo"))))</f>
        <v/>
      </c>
      <c r="K447" s="15">
        <f>IF(OR(D447="",F447="",F447="Única"),"",EDATE(D447,IF(F447="Mensal",1,IF(F447="Trimestral",3,IF(F447="Semestral",6,12)))))</f>
        <v/>
      </c>
      <c r="L447" s="14" t="n"/>
    </row>
    <row r="448">
      <c r="A448" s="14" t="n"/>
      <c r="B448" s="14" t="n"/>
      <c r="C448" s="14" t="n"/>
      <c r="D448" s="15" t="n"/>
      <c r="E448" s="16" t="n"/>
      <c r="F448" s="14" t="n"/>
      <c r="G448" s="17" t="n"/>
      <c r="H448" s="14" t="n"/>
      <c r="I448" s="17">
        <f>IF(OR(A448="",D448="",H448="Feito"),"",D448-TODAY())</f>
        <v/>
      </c>
      <c r="J448" s="14">
        <f>IF(OR(A448="",D448=""),"",IF(H448="Feito","FEITO",IF(I448&lt;0,"VENCIDO",IF(I448&lt;=IF(G448="",7,G448),"VENCE EM BREVE","No prazo"))))</f>
        <v/>
      </c>
      <c r="K448" s="15">
        <f>IF(OR(D448="",F448="",F448="Única"),"",EDATE(D448,IF(F448="Mensal",1,IF(F448="Trimestral",3,IF(F448="Semestral",6,12)))))</f>
        <v/>
      </c>
      <c r="L448" s="14" t="n"/>
    </row>
    <row r="449">
      <c r="A449" s="14" t="n"/>
      <c r="B449" s="14" t="n"/>
      <c r="C449" s="14" t="n"/>
      <c r="D449" s="15" t="n"/>
      <c r="E449" s="16" t="n"/>
      <c r="F449" s="14" t="n"/>
      <c r="G449" s="17" t="n"/>
      <c r="H449" s="14" t="n"/>
      <c r="I449" s="17">
        <f>IF(OR(A449="",D449="",H449="Feito"),"",D449-TODAY())</f>
        <v/>
      </c>
      <c r="J449" s="14">
        <f>IF(OR(A449="",D449=""),"",IF(H449="Feito","FEITO",IF(I449&lt;0,"VENCIDO",IF(I449&lt;=IF(G449="",7,G449),"VENCE EM BREVE","No prazo"))))</f>
        <v/>
      </c>
      <c r="K449" s="15">
        <f>IF(OR(D449="",F449="",F449="Única"),"",EDATE(D449,IF(F449="Mensal",1,IF(F449="Trimestral",3,IF(F449="Semestral",6,12)))))</f>
        <v/>
      </c>
      <c r="L449" s="14" t="n"/>
    </row>
    <row r="450">
      <c r="A450" s="14" t="n"/>
      <c r="B450" s="14" t="n"/>
      <c r="C450" s="14" t="n"/>
      <c r="D450" s="15" t="n"/>
      <c r="E450" s="16" t="n"/>
      <c r="F450" s="14" t="n"/>
      <c r="G450" s="17" t="n"/>
      <c r="H450" s="14" t="n"/>
      <c r="I450" s="17">
        <f>IF(OR(A450="",D450="",H450="Feito"),"",D450-TODAY())</f>
        <v/>
      </c>
      <c r="J450" s="14">
        <f>IF(OR(A450="",D450=""),"",IF(H450="Feito","FEITO",IF(I450&lt;0,"VENCIDO",IF(I450&lt;=IF(G450="",7,G450),"VENCE EM BREVE","No prazo"))))</f>
        <v/>
      </c>
      <c r="K450" s="15">
        <f>IF(OR(D450="",F450="",F450="Única"),"",EDATE(D450,IF(F450="Mensal",1,IF(F450="Trimestral",3,IF(F450="Semestral",6,12)))))</f>
        <v/>
      </c>
      <c r="L450" s="14" t="n"/>
    </row>
    <row r="451">
      <c r="A451" s="14" t="n"/>
      <c r="B451" s="14" t="n"/>
      <c r="C451" s="14" t="n"/>
      <c r="D451" s="15" t="n"/>
      <c r="E451" s="16" t="n"/>
      <c r="F451" s="14" t="n"/>
      <c r="G451" s="17" t="n"/>
      <c r="H451" s="14" t="n"/>
      <c r="I451" s="17">
        <f>IF(OR(A451="",D451="",H451="Feito"),"",D451-TODAY())</f>
        <v/>
      </c>
      <c r="J451" s="14">
        <f>IF(OR(A451="",D451=""),"",IF(H451="Feito","FEITO",IF(I451&lt;0,"VENCIDO",IF(I451&lt;=IF(G451="",7,G451),"VENCE EM BREVE","No prazo"))))</f>
        <v/>
      </c>
      <c r="K451" s="15">
        <f>IF(OR(D451="",F451="",F451="Única"),"",EDATE(D451,IF(F451="Mensal",1,IF(F451="Trimestral",3,IF(F451="Semestral",6,12)))))</f>
        <v/>
      </c>
      <c r="L451" s="14" t="n"/>
    </row>
    <row r="452">
      <c r="A452" s="14" t="n"/>
      <c r="B452" s="14" t="n"/>
      <c r="C452" s="14" t="n"/>
      <c r="D452" s="15" t="n"/>
      <c r="E452" s="16" t="n"/>
      <c r="F452" s="14" t="n"/>
      <c r="G452" s="17" t="n"/>
      <c r="H452" s="14" t="n"/>
      <c r="I452" s="17">
        <f>IF(OR(A452="",D452="",H452="Feito"),"",D452-TODAY())</f>
        <v/>
      </c>
      <c r="J452" s="14">
        <f>IF(OR(A452="",D452=""),"",IF(H452="Feito","FEITO",IF(I452&lt;0,"VENCIDO",IF(I452&lt;=IF(G452="",7,G452),"VENCE EM BREVE","No prazo"))))</f>
        <v/>
      </c>
      <c r="K452" s="15">
        <f>IF(OR(D452="",F452="",F452="Única"),"",EDATE(D452,IF(F452="Mensal",1,IF(F452="Trimestral",3,IF(F452="Semestral",6,12)))))</f>
        <v/>
      </c>
      <c r="L452" s="14" t="n"/>
    </row>
    <row r="453">
      <c r="A453" s="14" t="n"/>
      <c r="B453" s="14" t="n"/>
      <c r="C453" s="14" t="n"/>
      <c r="D453" s="15" t="n"/>
      <c r="E453" s="16" t="n"/>
      <c r="F453" s="14" t="n"/>
      <c r="G453" s="17" t="n"/>
      <c r="H453" s="14" t="n"/>
      <c r="I453" s="17">
        <f>IF(OR(A453="",D453="",H453="Feito"),"",D453-TODAY())</f>
        <v/>
      </c>
      <c r="J453" s="14">
        <f>IF(OR(A453="",D453=""),"",IF(H453="Feito","FEITO",IF(I453&lt;0,"VENCIDO",IF(I453&lt;=IF(G453="",7,G453),"VENCE EM BREVE","No prazo"))))</f>
        <v/>
      </c>
      <c r="K453" s="15">
        <f>IF(OR(D453="",F453="",F453="Única"),"",EDATE(D453,IF(F453="Mensal",1,IF(F453="Trimestral",3,IF(F453="Semestral",6,12)))))</f>
        <v/>
      </c>
      <c r="L453" s="14" t="n"/>
    </row>
    <row r="454">
      <c r="A454" s="14" t="n"/>
      <c r="B454" s="14" t="n"/>
      <c r="C454" s="14" t="n"/>
      <c r="D454" s="15" t="n"/>
      <c r="E454" s="16" t="n"/>
      <c r="F454" s="14" t="n"/>
      <c r="G454" s="17" t="n"/>
      <c r="H454" s="14" t="n"/>
      <c r="I454" s="17">
        <f>IF(OR(A454="",D454="",H454="Feito"),"",D454-TODAY())</f>
        <v/>
      </c>
      <c r="J454" s="14">
        <f>IF(OR(A454="",D454=""),"",IF(H454="Feito","FEITO",IF(I454&lt;0,"VENCIDO",IF(I454&lt;=IF(G454="",7,G454),"VENCE EM BREVE","No prazo"))))</f>
        <v/>
      </c>
      <c r="K454" s="15">
        <f>IF(OR(D454="",F454="",F454="Única"),"",EDATE(D454,IF(F454="Mensal",1,IF(F454="Trimestral",3,IF(F454="Semestral",6,12)))))</f>
        <v/>
      </c>
      <c r="L454" s="14" t="n"/>
    </row>
    <row r="455">
      <c r="A455" s="14" t="n"/>
      <c r="B455" s="14" t="n"/>
      <c r="C455" s="14" t="n"/>
      <c r="D455" s="15" t="n"/>
      <c r="E455" s="16" t="n"/>
      <c r="F455" s="14" t="n"/>
      <c r="G455" s="17" t="n"/>
      <c r="H455" s="14" t="n"/>
      <c r="I455" s="17">
        <f>IF(OR(A455="",D455="",H455="Feito"),"",D455-TODAY())</f>
        <v/>
      </c>
      <c r="J455" s="14">
        <f>IF(OR(A455="",D455=""),"",IF(H455="Feito","FEITO",IF(I455&lt;0,"VENCIDO",IF(I455&lt;=IF(G455="",7,G455),"VENCE EM BREVE","No prazo"))))</f>
        <v/>
      </c>
      <c r="K455" s="15">
        <f>IF(OR(D455="",F455="",F455="Única"),"",EDATE(D455,IF(F455="Mensal",1,IF(F455="Trimestral",3,IF(F455="Semestral",6,12)))))</f>
        <v/>
      </c>
      <c r="L455" s="14" t="n"/>
    </row>
    <row r="456">
      <c r="A456" s="14" t="n"/>
      <c r="B456" s="14" t="n"/>
      <c r="C456" s="14" t="n"/>
      <c r="D456" s="15" t="n"/>
      <c r="E456" s="16" t="n"/>
      <c r="F456" s="14" t="n"/>
      <c r="G456" s="17" t="n"/>
      <c r="H456" s="14" t="n"/>
      <c r="I456" s="17">
        <f>IF(OR(A456="",D456="",H456="Feito"),"",D456-TODAY())</f>
        <v/>
      </c>
      <c r="J456" s="14">
        <f>IF(OR(A456="",D456=""),"",IF(H456="Feito","FEITO",IF(I456&lt;0,"VENCIDO",IF(I456&lt;=IF(G456="",7,G456),"VENCE EM BREVE","No prazo"))))</f>
        <v/>
      </c>
      <c r="K456" s="15">
        <f>IF(OR(D456="",F456="",F456="Única"),"",EDATE(D456,IF(F456="Mensal",1,IF(F456="Trimestral",3,IF(F456="Semestral",6,12)))))</f>
        <v/>
      </c>
      <c r="L456" s="14" t="n"/>
    </row>
    <row r="457">
      <c r="A457" s="14" t="n"/>
      <c r="B457" s="14" t="n"/>
      <c r="C457" s="14" t="n"/>
      <c r="D457" s="15" t="n"/>
      <c r="E457" s="16" t="n"/>
      <c r="F457" s="14" t="n"/>
      <c r="G457" s="17" t="n"/>
      <c r="H457" s="14" t="n"/>
      <c r="I457" s="17">
        <f>IF(OR(A457="",D457="",H457="Feito"),"",D457-TODAY())</f>
        <v/>
      </c>
      <c r="J457" s="14">
        <f>IF(OR(A457="",D457=""),"",IF(H457="Feito","FEITO",IF(I457&lt;0,"VENCIDO",IF(I457&lt;=IF(G457="",7,G457),"VENCE EM BREVE","No prazo"))))</f>
        <v/>
      </c>
      <c r="K457" s="15">
        <f>IF(OR(D457="",F457="",F457="Única"),"",EDATE(D457,IF(F457="Mensal",1,IF(F457="Trimestral",3,IF(F457="Semestral",6,12)))))</f>
        <v/>
      </c>
      <c r="L457" s="14" t="n"/>
    </row>
    <row r="458">
      <c r="A458" s="14" t="n"/>
      <c r="B458" s="14" t="n"/>
      <c r="C458" s="14" t="n"/>
      <c r="D458" s="15" t="n"/>
      <c r="E458" s="16" t="n"/>
      <c r="F458" s="14" t="n"/>
      <c r="G458" s="17" t="n"/>
      <c r="H458" s="14" t="n"/>
      <c r="I458" s="17">
        <f>IF(OR(A458="",D458="",H458="Feito"),"",D458-TODAY())</f>
        <v/>
      </c>
      <c r="J458" s="14">
        <f>IF(OR(A458="",D458=""),"",IF(H458="Feito","FEITO",IF(I458&lt;0,"VENCIDO",IF(I458&lt;=IF(G458="",7,G458),"VENCE EM BREVE","No prazo"))))</f>
        <v/>
      </c>
      <c r="K458" s="15">
        <f>IF(OR(D458="",F458="",F458="Única"),"",EDATE(D458,IF(F458="Mensal",1,IF(F458="Trimestral",3,IF(F458="Semestral",6,12)))))</f>
        <v/>
      </c>
      <c r="L458" s="14" t="n"/>
    </row>
    <row r="459">
      <c r="A459" s="14" t="n"/>
      <c r="B459" s="14" t="n"/>
      <c r="C459" s="14" t="n"/>
      <c r="D459" s="15" t="n"/>
      <c r="E459" s="16" t="n"/>
      <c r="F459" s="14" t="n"/>
      <c r="G459" s="17" t="n"/>
      <c r="H459" s="14" t="n"/>
      <c r="I459" s="17">
        <f>IF(OR(A459="",D459="",H459="Feito"),"",D459-TODAY())</f>
        <v/>
      </c>
      <c r="J459" s="14">
        <f>IF(OR(A459="",D459=""),"",IF(H459="Feito","FEITO",IF(I459&lt;0,"VENCIDO",IF(I459&lt;=IF(G459="",7,G459),"VENCE EM BREVE","No prazo"))))</f>
        <v/>
      </c>
      <c r="K459" s="15">
        <f>IF(OR(D459="",F459="",F459="Única"),"",EDATE(D459,IF(F459="Mensal",1,IF(F459="Trimestral",3,IF(F459="Semestral",6,12)))))</f>
        <v/>
      </c>
      <c r="L459" s="14" t="n"/>
    </row>
    <row r="460">
      <c r="A460" s="14" t="n"/>
      <c r="B460" s="14" t="n"/>
      <c r="C460" s="14" t="n"/>
      <c r="D460" s="15" t="n"/>
      <c r="E460" s="16" t="n"/>
      <c r="F460" s="14" t="n"/>
      <c r="G460" s="17" t="n"/>
      <c r="H460" s="14" t="n"/>
      <c r="I460" s="17">
        <f>IF(OR(A460="",D460="",H460="Feito"),"",D460-TODAY())</f>
        <v/>
      </c>
      <c r="J460" s="14">
        <f>IF(OR(A460="",D460=""),"",IF(H460="Feito","FEITO",IF(I460&lt;0,"VENCIDO",IF(I460&lt;=IF(G460="",7,G460),"VENCE EM BREVE","No prazo"))))</f>
        <v/>
      </c>
      <c r="K460" s="15">
        <f>IF(OR(D460="",F460="",F460="Única"),"",EDATE(D460,IF(F460="Mensal",1,IF(F460="Trimestral",3,IF(F460="Semestral",6,12)))))</f>
        <v/>
      </c>
      <c r="L460" s="14" t="n"/>
    </row>
    <row r="461">
      <c r="A461" s="14" t="n"/>
      <c r="B461" s="14" t="n"/>
      <c r="C461" s="14" t="n"/>
      <c r="D461" s="15" t="n"/>
      <c r="E461" s="16" t="n"/>
      <c r="F461" s="14" t="n"/>
      <c r="G461" s="17" t="n"/>
      <c r="H461" s="14" t="n"/>
      <c r="I461" s="17">
        <f>IF(OR(A461="",D461="",H461="Feito"),"",D461-TODAY())</f>
        <v/>
      </c>
      <c r="J461" s="14">
        <f>IF(OR(A461="",D461=""),"",IF(H461="Feito","FEITO",IF(I461&lt;0,"VENCIDO",IF(I461&lt;=IF(G461="",7,G461),"VENCE EM BREVE","No prazo"))))</f>
        <v/>
      </c>
      <c r="K461" s="15">
        <f>IF(OR(D461="",F461="",F461="Única"),"",EDATE(D461,IF(F461="Mensal",1,IF(F461="Trimestral",3,IF(F461="Semestral",6,12)))))</f>
        <v/>
      </c>
      <c r="L461" s="14" t="n"/>
    </row>
    <row r="462">
      <c r="A462" s="14" t="n"/>
      <c r="B462" s="14" t="n"/>
      <c r="C462" s="14" t="n"/>
      <c r="D462" s="15" t="n"/>
      <c r="E462" s="16" t="n"/>
      <c r="F462" s="14" t="n"/>
      <c r="G462" s="17" t="n"/>
      <c r="H462" s="14" t="n"/>
      <c r="I462" s="17">
        <f>IF(OR(A462="",D462="",H462="Feito"),"",D462-TODAY())</f>
        <v/>
      </c>
      <c r="J462" s="14">
        <f>IF(OR(A462="",D462=""),"",IF(H462="Feito","FEITO",IF(I462&lt;0,"VENCIDO",IF(I462&lt;=IF(G462="",7,G462),"VENCE EM BREVE","No prazo"))))</f>
        <v/>
      </c>
      <c r="K462" s="15">
        <f>IF(OR(D462="",F462="",F462="Única"),"",EDATE(D462,IF(F462="Mensal",1,IF(F462="Trimestral",3,IF(F462="Semestral",6,12)))))</f>
        <v/>
      </c>
      <c r="L462" s="14" t="n"/>
    </row>
    <row r="463">
      <c r="A463" s="14" t="n"/>
      <c r="B463" s="14" t="n"/>
      <c r="C463" s="14" t="n"/>
      <c r="D463" s="15" t="n"/>
      <c r="E463" s="16" t="n"/>
      <c r="F463" s="14" t="n"/>
      <c r="G463" s="17" t="n"/>
      <c r="H463" s="14" t="n"/>
      <c r="I463" s="17">
        <f>IF(OR(A463="",D463="",H463="Feito"),"",D463-TODAY())</f>
        <v/>
      </c>
      <c r="J463" s="14">
        <f>IF(OR(A463="",D463=""),"",IF(H463="Feito","FEITO",IF(I463&lt;0,"VENCIDO",IF(I463&lt;=IF(G463="",7,G463),"VENCE EM BREVE","No prazo"))))</f>
        <v/>
      </c>
      <c r="K463" s="15">
        <f>IF(OR(D463="",F463="",F463="Única"),"",EDATE(D463,IF(F463="Mensal",1,IF(F463="Trimestral",3,IF(F463="Semestral",6,12)))))</f>
        <v/>
      </c>
      <c r="L463" s="14" t="n"/>
    </row>
    <row r="464">
      <c r="A464" s="14" t="n"/>
      <c r="B464" s="14" t="n"/>
      <c r="C464" s="14" t="n"/>
      <c r="D464" s="15" t="n"/>
      <c r="E464" s="16" t="n"/>
      <c r="F464" s="14" t="n"/>
      <c r="G464" s="17" t="n"/>
      <c r="H464" s="14" t="n"/>
      <c r="I464" s="17">
        <f>IF(OR(A464="",D464="",H464="Feito"),"",D464-TODAY())</f>
        <v/>
      </c>
      <c r="J464" s="14">
        <f>IF(OR(A464="",D464=""),"",IF(H464="Feito","FEITO",IF(I464&lt;0,"VENCIDO",IF(I464&lt;=IF(G464="",7,G464),"VENCE EM BREVE","No prazo"))))</f>
        <v/>
      </c>
      <c r="K464" s="15">
        <f>IF(OR(D464="",F464="",F464="Única"),"",EDATE(D464,IF(F464="Mensal",1,IF(F464="Trimestral",3,IF(F464="Semestral",6,12)))))</f>
        <v/>
      </c>
      <c r="L464" s="14" t="n"/>
    </row>
    <row r="465">
      <c r="A465" s="14" t="n"/>
      <c r="B465" s="14" t="n"/>
      <c r="C465" s="14" t="n"/>
      <c r="D465" s="15" t="n"/>
      <c r="E465" s="16" t="n"/>
      <c r="F465" s="14" t="n"/>
      <c r="G465" s="17" t="n"/>
      <c r="H465" s="14" t="n"/>
      <c r="I465" s="17">
        <f>IF(OR(A465="",D465="",H465="Feito"),"",D465-TODAY())</f>
        <v/>
      </c>
      <c r="J465" s="14">
        <f>IF(OR(A465="",D465=""),"",IF(H465="Feito","FEITO",IF(I465&lt;0,"VENCIDO",IF(I465&lt;=IF(G465="",7,G465),"VENCE EM BREVE","No prazo"))))</f>
        <v/>
      </c>
      <c r="K465" s="15">
        <f>IF(OR(D465="",F465="",F465="Única"),"",EDATE(D465,IF(F465="Mensal",1,IF(F465="Trimestral",3,IF(F465="Semestral",6,12)))))</f>
        <v/>
      </c>
      <c r="L465" s="14" t="n"/>
    </row>
    <row r="466">
      <c r="A466" s="14" t="n"/>
      <c r="B466" s="14" t="n"/>
      <c r="C466" s="14" t="n"/>
      <c r="D466" s="15" t="n"/>
      <c r="E466" s="16" t="n"/>
      <c r="F466" s="14" t="n"/>
      <c r="G466" s="17" t="n"/>
      <c r="H466" s="14" t="n"/>
      <c r="I466" s="17">
        <f>IF(OR(A466="",D466="",H466="Feito"),"",D466-TODAY())</f>
        <v/>
      </c>
      <c r="J466" s="14">
        <f>IF(OR(A466="",D466=""),"",IF(H466="Feito","FEITO",IF(I466&lt;0,"VENCIDO",IF(I466&lt;=IF(G466="",7,G466),"VENCE EM BREVE","No prazo"))))</f>
        <v/>
      </c>
      <c r="K466" s="15">
        <f>IF(OR(D466="",F466="",F466="Única"),"",EDATE(D466,IF(F466="Mensal",1,IF(F466="Trimestral",3,IF(F466="Semestral",6,12)))))</f>
        <v/>
      </c>
      <c r="L466" s="14" t="n"/>
    </row>
    <row r="467">
      <c r="A467" s="14" t="n"/>
      <c r="B467" s="14" t="n"/>
      <c r="C467" s="14" t="n"/>
      <c r="D467" s="15" t="n"/>
      <c r="E467" s="16" t="n"/>
      <c r="F467" s="14" t="n"/>
      <c r="G467" s="17" t="n"/>
      <c r="H467" s="14" t="n"/>
      <c r="I467" s="17">
        <f>IF(OR(A467="",D467="",H467="Feito"),"",D467-TODAY())</f>
        <v/>
      </c>
      <c r="J467" s="14">
        <f>IF(OR(A467="",D467=""),"",IF(H467="Feito","FEITO",IF(I467&lt;0,"VENCIDO",IF(I467&lt;=IF(G467="",7,G467),"VENCE EM BREVE","No prazo"))))</f>
        <v/>
      </c>
      <c r="K467" s="15">
        <f>IF(OR(D467="",F467="",F467="Única"),"",EDATE(D467,IF(F467="Mensal",1,IF(F467="Trimestral",3,IF(F467="Semestral",6,12)))))</f>
        <v/>
      </c>
      <c r="L467" s="14" t="n"/>
    </row>
    <row r="468">
      <c r="A468" s="14" t="n"/>
      <c r="B468" s="14" t="n"/>
      <c r="C468" s="14" t="n"/>
      <c r="D468" s="15" t="n"/>
      <c r="E468" s="16" t="n"/>
      <c r="F468" s="14" t="n"/>
      <c r="G468" s="17" t="n"/>
      <c r="H468" s="14" t="n"/>
      <c r="I468" s="17">
        <f>IF(OR(A468="",D468="",H468="Feito"),"",D468-TODAY())</f>
        <v/>
      </c>
      <c r="J468" s="14">
        <f>IF(OR(A468="",D468=""),"",IF(H468="Feito","FEITO",IF(I468&lt;0,"VENCIDO",IF(I468&lt;=IF(G468="",7,G468),"VENCE EM BREVE","No prazo"))))</f>
        <v/>
      </c>
      <c r="K468" s="15">
        <f>IF(OR(D468="",F468="",F468="Única"),"",EDATE(D468,IF(F468="Mensal",1,IF(F468="Trimestral",3,IF(F468="Semestral",6,12)))))</f>
        <v/>
      </c>
      <c r="L468" s="14" t="n"/>
    </row>
    <row r="469">
      <c r="A469" s="14" t="n"/>
      <c r="B469" s="14" t="n"/>
      <c r="C469" s="14" t="n"/>
      <c r="D469" s="15" t="n"/>
      <c r="E469" s="16" t="n"/>
      <c r="F469" s="14" t="n"/>
      <c r="G469" s="17" t="n"/>
      <c r="H469" s="14" t="n"/>
      <c r="I469" s="17">
        <f>IF(OR(A469="",D469="",H469="Feito"),"",D469-TODAY())</f>
        <v/>
      </c>
      <c r="J469" s="14">
        <f>IF(OR(A469="",D469=""),"",IF(H469="Feito","FEITO",IF(I469&lt;0,"VENCIDO",IF(I469&lt;=IF(G469="",7,G469),"VENCE EM BREVE","No prazo"))))</f>
        <v/>
      </c>
      <c r="K469" s="15">
        <f>IF(OR(D469="",F469="",F469="Única"),"",EDATE(D469,IF(F469="Mensal",1,IF(F469="Trimestral",3,IF(F469="Semestral",6,12)))))</f>
        <v/>
      </c>
      <c r="L469" s="14" t="n"/>
    </row>
    <row r="470">
      <c r="A470" s="14" t="n"/>
      <c r="B470" s="14" t="n"/>
      <c r="C470" s="14" t="n"/>
      <c r="D470" s="15" t="n"/>
      <c r="E470" s="16" t="n"/>
      <c r="F470" s="14" t="n"/>
      <c r="G470" s="17" t="n"/>
      <c r="H470" s="14" t="n"/>
      <c r="I470" s="17">
        <f>IF(OR(A470="",D470="",H470="Feito"),"",D470-TODAY())</f>
        <v/>
      </c>
      <c r="J470" s="14">
        <f>IF(OR(A470="",D470=""),"",IF(H470="Feito","FEITO",IF(I470&lt;0,"VENCIDO",IF(I470&lt;=IF(G470="",7,G470),"VENCE EM BREVE","No prazo"))))</f>
        <v/>
      </c>
      <c r="K470" s="15">
        <f>IF(OR(D470="",F470="",F470="Única"),"",EDATE(D470,IF(F470="Mensal",1,IF(F470="Trimestral",3,IF(F470="Semestral",6,12)))))</f>
        <v/>
      </c>
      <c r="L470" s="14" t="n"/>
    </row>
    <row r="471">
      <c r="A471" s="14" t="n"/>
      <c r="B471" s="14" t="n"/>
      <c r="C471" s="14" t="n"/>
      <c r="D471" s="15" t="n"/>
      <c r="E471" s="16" t="n"/>
      <c r="F471" s="14" t="n"/>
      <c r="G471" s="17" t="n"/>
      <c r="H471" s="14" t="n"/>
      <c r="I471" s="17">
        <f>IF(OR(A471="",D471="",H471="Feito"),"",D471-TODAY())</f>
        <v/>
      </c>
      <c r="J471" s="14">
        <f>IF(OR(A471="",D471=""),"",IF(H471="Feito","FEITO",IF(I471&lt;0,"VENCIDO",IF(I471&lt;=IF(G471="",7,G471),"VENCE EM BREVE","No prazo"))))</f>
        <v/>
      </c>
      <c r="K471" s="15">
        <f>IF(OR(D471="",F471="",F471="Única"),"",EDATE(D471,IF(F471="Mensal",1,IF(F471="Trimestral",3,IF(F471="Semestral",6,12)))))</f>
        <v/>
      </c>
      <c r="L471" s="14" t="n"/>
    </row>
    <row r="472">
      <c r="A472" s="14" t="n"/>
      <c r="B472" s="14" t="n"/>
      <c r="C472" s="14" t="n"/>
      <c r="D472" s="15" t="n"/>
      <c r="E472" s="16" t="n"/>
      <c r="F472" s="14" t="n"/>
      <c r="G472" s="17" t="n"/>
      <c r="H472" s="14" t="n"/>
      <c r="I472" s="17">
        <f>IF(OR(A472="",D472="",H472="Feito"),"",D472-TODAY())</f>
        <v/>
      </c>
      <c r="J472" s="14">
        <f>IF(OR(A472="",D472=""),"",IF(H472="Feito","FEITO",IF(I472&lt;0,"VENCIDO",IF(I472&lt;=IF(G472="",7,G472),"VENCE EM BREVE","No prazo"))))</f>
        <v/>
      </c>
      <c r="K472" s="15">
        <f>IF(OR(D472="",F472="",F472="Única"),"",EDATE(D472,IF(F472="Mensal",1,IF(F472="Trimestral",3,IF(F472="Semestral",6,12)))))</f>
        <v/>
      </c>
      <c r="L472" s="14" t="n"/>
    </row>
    <row r="473">
      <c r="A473" s="14" t="n"/>
      <c r="B473" s="14" t="n"/>
      <c r="C473" s="14" t="n"/>
      <c r="D473" s="15" t="n"/>
      <c r="E473" s="16" t="n"/>
      <c r="F473" s="14" t="n"/>
      <c r="G473" s="17" t="n"/>
      <c r="H473" s="14" t="n"/>
      <c r="I473" s="17">
        <f>IF(OR(A473="",D473="",H473="Feito"),"",D473-TODAY())</f>
        <v/>
      </c>
      <c r="J473" s="14">
        <f>IF(OR(A473="",D473=""),"",IF(H473="Feito","FEITO",IF(I473&lt;0,"VENCIDO",IF(I473&lt;=IF(G473="",7,G473),"VENCE EM BREVE","No prazo"))))</f>
        <v/>
      </c>
      <c r="K473" s="15">
        <f>IF(OR(D473="",F473="",F473="Única"),"",EDATE(D473,IF(F473="Mensal",1,IF(F473="Trimestral",3,IF(F473="Semestral",6,12)))))</f>
        <v/>
      </c>
      <c r="L473" s="14" t="n"/>
    </row>
    <row r="474">
      <c r="A474" s="14" t="n"/>
      <c r="B474" s="14" t="n"/>
      <c r="C474" s="14" t="n"/>
      <c r="D474" s="15" t="n"/>
      <c r="E474" s="16" t="n"/>
      <c r="F474" s="14" t="n"/>
      <c r="G474" s="17" t="n"/>
      <c r="H474" s="14" t="n"/>
      <c r="I474" s="17">
        <f>IF(OR(A474="",D474="",H474="Feito"),"",D474-TODAY())</f>
        <v/>
      </c>
      <c r="J474" s="14">
        <f>IF(OR(A474="",D474=""),"",IF(H474="Feito","FEITO",IF(I474&lt;0,"VENCIDO",IF(I474&lt;=IF(G474="",7,G474),"VENCE EM BREVE","No prazo"))))</f>
        <v/>
      </c>
      <c r="K474" s="15">
        <f>IF(OR(D474="",F474="",F474="Única"),"",EDATE(D474,IF(F474="Mensal",1,IF(F474="Trimestral",3,IF(F474="Semestral",6,12)))))</f>
        <v/>
      </c>
      <c r="L474" s="14" t="n"/>
    </row>
    <row r="475">
      <c r="A475" s="14" t="n"/>
      <c r="B475" s="14" t="n"/>
      <c r="C475" s="14" t="n"/>
      <c r="D475" s="15" t="n"/>
      <c r="E475" s="16" t="n"/>
      <c r="F475" s="14" t="n"/>
      <c r="G475" s="17" t="n"/>
      <c r="H475" s="14" t="n"/>
      <c r="I475" s="17">
        <f>IF(OR(A475="",D475="",H475="Feito"),"",D475-TODAY())</f>
        <v/>
      </c>
      <c r="J475" s="14">
        <f>IF(OR(A475="",D475=""),"",IF(H475="Feito","FEITO",IF(I475&lt;0,"VENCIDO",IF(I475&lt;=IF(G475="",7,G475),"VENCE EM BREVE","No prazo"))))</f>
        <v/>
      </c>
      <c r="K475" s="15">
        <f>IF(OR(D475="",F475="",F475="Única"),"",EDATE(D475,IF(F475="Mensal",1,IF(F475="Trimestral",3,IF(F475="Semestral",6,12)))))</f>
        <v/>
      </c>
      <c r="L475" s="14" t="n"/>
    </row>
    <row r="476">
      <c r="A476" s="14" t="n"/>
      <c r="B476" s="14" t="n"/>
      <c r="C476" s="14" t="n"/>
      <c r="D476" s="15" t="n"/>
      <c r="E476" s="16" t="n"/>
      <c r="F476" s="14" t="n"/>
      <c r="G476" s="17" t="n"/>
      <c r="H476" s="14" t="n"/>
      <c r="I476" s="17">
        <f>IF(OR(A476="",D476="",H476="Feito"),"",D476-TODAY())</f>
        <v/>
      </c>
      <c r="J476" s="14">
        <f>IF(OR(A476="",D476=""),"",IF(H476="Feito","FEITO",IF(I476&lt;0,"VENCIDO",IF(I476&lt;=IF(G476="",7,G476),"VENCE EM BREVE","No prazo"))))</f>
        <v/>
      </c>
      <c r="K476" s="15">
        <f>IF(OR(D476="",F476="",F476="Única"),"",EDATE(D476,IF(F476="Mensal",1,IF(F476="Trimestral",3,IF(F476="Semestral",6,12)))))</f>
        <v/>
      </c>
      <c r="L476" s="14" t="n"/>
    </row>
    <row r="477">
      <c r="A477" s="14" t="n"/>
      <c r="B477" s="14" t="n"/>
      <c r="C477" s="14" t="n"/>
      <c r="D477" s="15" t="n"/>
      <c r="E477" s="16" t="n"/>
      <c r="F477" s="14" t="n"/>
      <c r="G477" s="17" t="n"/>
      <c r="H477" s="14" t="n"/>
      <c r="I477" s="17">
        <f>IF(OR(A477="",D477="",H477="Feito"),"",D477-TODAY())</f>
        <v/>
      </c>
      <c r="J477" s="14">
        <f>IF(OR(A477="",D477=""),"",IF(H477="Feito","FEITO",IF(I477&lt;0,"VENCIDO",IF(I477&lt;=IF(G477="",7,G477),"VENCE EM BREVE","No prazo"))))</f>
        <v/>
      </c>
      <c r="K477" s="15">
        <f>IF(OR(D477="",F477="",F477="Única"),"",EDATE(D477,IF(F477="Mensal",1,IF(F477="Trimestral",3,IF(F477="Semestral",6,12)))))</f>
        <v/>
      </c>
      <c r="L477" s="14" t="n"/>
    </row>
    <row r="478">
      <c r="A478" s="14" t="n"/>
      <c r="B478" s="14" t="n"/>
      <c r="C478" s="14" t="n"/>
      <c r="D478" s="15" t="n"/>
      <c r="E478" s="16" t="n"/>
      <c r="F478" s="14" t="n"/>
      <c r="G478" s="17" t="n"/>
      <c r="H478" s="14" t="n"/>
      <c r="I478" s="17">
        <f>IF(OR(A478="",D478="",H478="Feito"),"",D478-TODAY())</f>
        <v/>
      </c>
      <c r="J478" s="14">
        <f>IF(OR(A478="",D478=""),"",IF(H478="Feito","FEITO",IF(I478&lt;0,"VENCIDO",IF(I478&lt;=IF(G478="",7,G478),"VENCE EM BREVE","No prazo"))))</f>
        <v/>
      </c>
      <c r="K478" s="15">
        <f>IF(OR(D478="",F478="",F478="Única"),"",EDATE(D478,IF(F478="Mensal",1,IF(F478="Trimestral",3,IF(F478="Semestral",6,12)))))</f>
        <v/>
      </c>
      <c r="L478" s="14" t="n"/>
    </row>
    <row r="479">
      <c r="A479" s="14" t="n"/>
      <c r="B479" s="14" t="n"/>
      <c r="C479" s="14" t="n"/>
      <c r="D479" s="15" t="n"/>
      <c r="E479" s="16" t="n"/>
      <c r="F479" s="14" t="n"/>
      <c r="G479" s="17" t="n"/>
      <c r="H479" s="14" t="n"/>
      <c r="I479" s="17">
        <f>IF(OR(A479="",D479="",H479="Feito"),"",D479-TODAY())</f>
        <v/>
      </c>
      <c r="J479" s="14">
        <f>IF(OR(A479="",D479=""),"",IF(H479="Feito","FEITO",IF(I479&lt;0,"VENCIDO",IF(I479&lt;=IF(G479="",7,G479),"VENCE EM BREVE","No prazo"))))</f>
        <v/>
      </c>
      <c r="K479" s="15">
        <f>IF(OR(D479="",F479="",F479="Única"),"",EDATE(D479,IF(F479="Mensal",1,IF(F479="Trimestral",3,IF(F479="Semestral",6,12)))))</f>
        <v/>
      </c>
      <c r="L479" s="14" t="n"/>
    </row>
    <row r="480">
      <c r="A480" s="14" t="n"/>
      <c r="B480" s="14" t="n"/>
      <c r="C480" s="14" t="n"/>
      <c r="D480" s="15" t="n"/>
      <c r="E480" s="16" t="n"/>
      <c r="F480" s="14" t="n"/>
      <c r="G480" s="17" t="n"/>
      <c r="H480" s="14" t="n"/>
      <c r="I480" s="17">
        <f>IF(OR(A480="",D480="",H480="Feito"),"",D480-TODAY())</f>
        <v/>
      </c>
      <c r="J480" s="14">
        <f>IF(OR(A480="",D480=""),"",IF(H480="Feito","FEITO",IF(I480&lt;0,"VENCIDO",IF(I480&lt;=IF(G480="",7,G480),"VENCE EM BREVE","No prazo"))))</f>
        <v/>
      </c>
      <c r="K480" s="15">
        <f>IF(OR(D480="",F480="",F480="Única"),"",EDATE(D480,IF(F480="Mensal",1,IF(F480="Trimestral",3,IF(F480="Semestral",6,12)))))</f>
        <v/>
      </c>
      <c r="L480" s="14" t="n"/>
    </row>
    <row r="481">
      <c r="A481" s="14" t="n"/>
      <c r="B481" s="14" t="n"/>
      <c r="C481" s="14" t="n"/>
      <c r="D481" s="15" t="n"/>
      <c r="E481" s="16" t="n"/>
      <c r="F481" s="14" t="n"/>
      <c r="G481" s="17" t="n"/>
      <c r="H481" s="14" t="n"/>
      <c r="I481" s="17">
        <f>IF(OR(A481="",D481="",H481="Feito"),"",D481-TODAY())</f>
        <v/>
      </c>
      <c r="J481" s="14">
        <f>IF(OR(A481="",D481=""),"",IF(H481="Feito","FEITO",IF(I481&lt;0,"VENCIDO",IF(I481&lt;=IF(G481="",7,G481),"VENCE EM BREVE","No prazo"))))</f>
        <v/>
      </c>
      <c r="K481" s="15">
        <f>IF(OR(D481="",F481="",F481="Única"),"",EDATE(D481,IF(F481="Mensal",1,IF(F481="Trimestral",3,IF(F481="Semestral",6,12)))))</f>
        <v/>
      </c>
      <c r="L481" s="14" t="n"/>
    </row>
    <row r="482">
      <c r="A482" s="14" t="n"/>
      <c r="B482" s="14" t="n"/>
      <c r="C482" s="14" t="n"/>
      <c r="D482" s="15" t="n"/>
      <c r="E482" s="16" t="n"/>
      <c r="F482" s="14" t="n"/>
      <c r="G482" s="17" t="n"/>
      <c r="H482" s="14" t="n"/>
      <c r="I482" s="17">
        <f>IF(OR(A482="",D482="",H482="Feito"),"",D482-TODAY())</f>
        <v/>
      </c>
      <c r="J482" s="14">
        <f>IF(OR(A482="",D482=""),"",IF(H482="Feito","FEITO",IF(I482&lt;0,"VENCIDO",IF(I482&lt;=IF(G482="",7,G482),"VENCE EM BREVE","No prazo"))))</f>
        <v/>
      </c>
      <c r="K482" s="15">
        <f>IF(OR(D482="",F482="",F482="Única"),"",EDATE(D482,IF(F482="Mensal",1,IF(F482="Trimestral",3,IF(F482="Semestral",6,12)))))</f>
        <v/>
      </c>
      <c r="L482" s="14" t="n"/>
    </row>
    <row r="483">
      <c r="A483" s="14" t="n"/>
      <c r="B483" s="14" t="n"/>
      <c r="C483" s="14" t="n"/>
      <c r="D483" s="15" t="n"/>
      <c r="E483" s="16" t="n"/>
      <c r="F483" s="14" t="n"/>
      <c r="G483" s="17" t="n"/>
      <c r="H483" s="14" t="n"/>
      <c r="I483" s="17">
        <f>IF(OR(A483="",D483="",H483="Feito"),"",D483-TODAY())</f>
        <v/>
      </c>
      <c r="J483" s="14">
        <f>IF(OR(A483="",D483=""),"",IF(H483="Feito","FEITO",IF(I483&lt;0,"VENCIDO",IF(I483&lt;=IF(G483="",7,G483),"VENCE EM BREVE","No prazo"))))</f>
        <v/>
      </c>
      <c r="K483" s="15">
        <f>IF(OR(D483="",F483="",F483="Única"),"",EDATE(D483,IF(F483="Mensal",1,IF(F483="Trimestral",3,IF(F483="Semestral",6,12)))))</f>
        <v/>
      </c>
      <c r="L483" s="14" t="n"/>
    </row>
    <row r="484">
      <c r="A484" s="14" t="n"/>
      <c r="B484" s="14" t="n"/>
      <c r="C484" s="14" t="n"/>
      <c r="D484" s="15" t="n"/>
      <c r="E484" s="16" t="n"/>
      <c r="F484" s="14" t="n"/>
      <c r="G484" s="17" t="n"/>
      <c r="H484" s="14" t="n"/>
      <c r="I484" s="17">
        <f>IF(OR(A484="",D484="",H484="Feito"),"",D484-TODAY())</f>
        <v/>
      </c>
      <c r="J484" s="14">
        <f>IF(OR(A484="",D484=""),"",IF(H484="Feito","FEITO",IF(I484&lt;0,"VENCIDO",IF(I484&lt;=IF(G484="",7,G484),"VENCE EM BREVE","No prazo"))))</f>
        <v/>
      </c>
      <c r="K484" s="15">
        <f>IF(OR(D484="",F484="",F484="Única"),"",EDATE(D484,IF(F484="Mensal",1,IF(F484="Trimestral",3,IF(F484="Semestral",6,12)))))</f>
        <v/>
      </c>
      <c r="L484" s="14" t="n"/>
    </row>
    <row r="485">
      <c r="A485" s="14" t="n"/>
      <c r="B485" s="14" t="n"/>
      <c r="C485" s="14" t="n"/>
      <c r="D485" s="15" t="n"/>
      <c r="E485" s="16" t="n"/>
      <c r="F485" s="14" t="n"/>
      <c r="G485" s="17" t="n"/>
      <c r="H485" s="14" t="n"/>
      <c r="I485" s="17">
        <f>IF(OR(A485="",D485="",H485="Feito"),"",D485-TODAY())</f>
        <v/>
      </c>
      <c r="J485" s="14">
        <f>IF(OR(A485="",D485=""),"",IF(H485="Feito","FEITO",IF(I485&lt;0,"VENCIDO",IF(I485&lt;=IF(G485="",7,G485),"VENCE EM BREVE","No prazo"))))</f>
        <v/>
      </c>
      <c r="K485" s="15">
        <f>IF(OR(D485="",F485="",F485="Única"),"",EDATE(D485,IF(F485="Mensal",1,IF(F485="Trimestral",3,IF(F485="Semestral",6,12)))))</f>
        <v/>
      </c>
      <c r="L485" s="14" t="n"/>
    </row>
    <row r="486">
      <c r="A486" s="14" t="n"/>
      <c r="B486" s="14" t="n"/>
      <c r="C486" s="14" t="n"/>
      <c r="D486" s="15" t="n"/>
      <c r="E486" s="16" t="n"/>
      <c r="F486" s="14" t="n"/>
      <c r="G486" s="17" t="n"/>
      <c r="H486" s="14" t="n"/>
      <c r="I486" s="17">
        <f>IF(OR(A486="",D486="",H486="Feito"),"",D486-TODAY())</f>
        <v/>
      </c>
      <c r="J486" s="14">
        <f>IF(OR(A486="",D486=""),"",IF(H486="Feito","FEITO",IF(I486&lt;0,"VENCIDO",IF(I486&lt;=IF(G486="",7,G486),"VENCE EM BREVE","No prazo"))))</f>
        <v/>
      </c>
      <c r="K486" s="15">
        <f>IF(OR(D486="",F486="",F486="Única"),"",EDATE(D486,IF(F486="Mensal",1,IF(F486="Trimestral",3,IF(F486="Semestral",6,12)))))</f>
        <v/>
      </c>
      <c r="L486" s="14" t="n"/>
    </row>
    <row r="487">
      <c r="A487" s="14" t="n"/>
      <c r="B487" s="14" t="n"/>
      <c r="C487" s="14" t="n"/>
      <c r="D487" s="15" t="n"/>
      <c r="E487" s="16" t="n"/>
      <c r="F487" s="14" t="n"/>
      <c r="G487" s="17" t="n"/>
      <c r="H487" s="14" t="n"/>
      <c r="I487" s="17">
        <f>IF(OR(A487="",D487="",H487="Feito"),"",D487-TODAY())</f>
        <v/>
      </c>
      <c r="J487" s="14">
        <f>IF(OR(A487="",D487=""),"",IF(H487="Feito","FEITO",IF(I487&lt;0,"VENCIDO",IF(I487&lt;=IF(G487="",7,G487),"VENCE EM BREVE","No prazo"))))</f>
        <v/>
      </c>
      <c r="K487" s="15">
        <f>IF(OR(D487="",F487="",F487="Única"),"",EDATE(D487,IF(F487="Mensal",1,IF(F487="Trimestral",3,IF(F487="Semestral",6,12)))))</f>
        <v/>
      </c>
      <c r="L487" s="14" t="n"/>
    </row>
    <row r="488">
      <c r="A488" s="14" t="n"/>
      <c r="B488" s="14" t="n"/>
      <c r="C488" s="14" t="n"/>
      <c r="D488" s="15" t="n"/>
      <c r="E488" s="16" t="n"/>
      <c r="F488" s="14" t="n"/>
      <c r="G488" s="17" t="n"/>
      <c r="H488" s="14" t="n"/>
      <c r="I488" s="17">
        <f>IF(OR(A488="",D488="",H488="Feito"),"",D488-TODAY())</f>
        <v/>
      </c>
      <c r="J488" s="14">
        <f>IF(OR(A488="",D488=""),"",IF(H488="Feito","FEITO",IF(I488&lt;0,"VENCIDO",IF(I488&lt;=IF(G488="",7,G488),"VENCE EM BREVE","No prazo"))))</f>
        <v/>
      </c>
      <c r="K488" s="15">
        <f>IF(OR(D488="",F488="",F488="Única"),"",EDATE(D488,IF(F488="Mensal",1,IF(F488="Trimestral",3,IF(F488="Semestral",6,12)))))</f>
        <v/>
      </c>
      <c r="L488" s="14" t="n"/>
    </row>
    <row r="489">
      <c r="A489" s="14" t="n"/>
      <c r="B489" s="14" t="n"/>
      <c r="C489" s="14" t="n"/>
      <c r="D489" s="15" t="n"/>
      <c r="E489" s="16" t="n"/>
      <c r="F489" s="14" t="n"/>
      <c r="G489" s="17" t="n"/>
      <c r="H489" s="14" t="n"/>
      <c r="I489" s="17">
        <f>IF(OR(A489="",D489="",H489="Feito"),"",D489-TODAY())</f>
        <v/>
      </c>
      <c r="J489" s="14">
        <f>IF(OR(A489="",D489=""),"",IF(H489="Feito","FEITO",IF(I489&lt;0,"VENCIDO",IF(I489&lt;=IF(G489="",7,G489),"VENCE EM BREVE","No prazo"))))</f>
        <v/>
      </c>
      <c r="K489" s="15">
        <f>IF(OR(D489="",F489="",F489="Única"),"",EDATE(D489,IF(F489="Mensal",1,IF(F489="Trimestral",3,IF(F489="Semestral",6,12)))))</f>
        <v/>
      </c>
      <c r="L489" s="14" t="n"/>
    </row>
    <row r="490">
      <c r="A490" s="14" t="n"/>
      <c r="B490" s="14" t="n"/>
      <c r="C490" s="14" t="n"/>
      <c r="D490" s="15" t="n"/>
      <c r="E490" s="16" t="n"/>
      <c r="F490" s="14" t="n"/>
      <c r="G490" s="17" t="n"/>
      <c r="H490" s="14" t="n"/>
      <c r="I490" s="17">
        <f>IF(OR(A490="",D490="",H490="Feito"),"",D490-TODAY())</f>
        <v/>
      </c>
      <c r="J490" s="14">
        <f>IF(OR(A490="",D490=""),"",IF(H490="Feito","FEITO",IF(I490&lt;0,"VENCIDO",IF(I490&lt;=IF(G490="",7,G490),"VENCE EM BREVE","No prazo"))))</f>
        <v/>
      </c>
      <c r="K490" s="15">
        <f>IF(OR(D490="",F490="",F490="Única"),"",EDATE(D490,IF(F490="Mensal",1,IF(F490="Trimestral",3,IF(F490="Semestral",6,12)))))</f>
        <v/>
      </c>
      <c r="L490" s="14" t="n"/>
    </row>
    <row r="491">
      <c r="A491" s="14" t="n"/>
      <c r="B491" s="14" t="n"/>
      <c r="C491" s="14" t="n"/>
      <c r="D491" s="15" t="n"/>
      <c r="E491" s="16" t="n"/>
      <c r="F491" s="14" t="n"/>
      <c r="G491" s="17" t="n"/>
      <c r="H491" s="14" t="n"/>
      <c r="I491" s="17">
        <f>IF(OR(A491="",D491="",H491="Feito"),"",D491-TODAY())</f>
        <v/>
      </c>
      <c r="J491" s="14">
        <f>IF(OR(A491="",D491=""),"",IF(H491="Feito","FEITO",IF(I491&lt;0,"VENCIDO",IF(I491&lt;=IF(G491="",7,G491),"VENCE EM BREVE","No prazo"))))</f>
        <v/>
      </c>
      <c r="K491" s="15">
        <f>IF(OR(D491="",F491="",F491="Única"),"",EDATE(D491,IF(F491="Mensal",1,IF(F491="Trimestral",3,IF(F491="Semestral",6,12)))))</f>
        <v/>
      </c>
      <c r="L491" s="14" t="n"/>
    </row>
    <row r="492">
      <c r="A492" s="14" t="n"/>
      <c r="B492" s="14" t="n"/>
      <c r="C492" s="14" t="n"/>
      <c r="D492" s="15" t="n"/>
      <c r="E492" s="16" t="n"/>
      <c r="F492" s="14" t="n"/>
      <c r="G492" s="17" t="n"/>
      <c r="H492" s="14" t="n"/>
      <c r="I492" s="17">
        <f>IF(OR(A492="",D492="",H492="Feito"),"",D492-TODAY())</f>
        <v/>
      </c>
      <c r="J492" s="14">
        <f>IF(OR(A492="",D492=""),"",IF(H492="Feito","FEITO",IF(I492&lt;0,"VENCIDO",IF(I492&lt;=IF(G492="",7,G492),"VENCE EM BREVE","No prazo"))))</f>
        <v/>
      </c>
      <c r="K492" s="15">
        <f>IF(OR(D492="",F492="",F492="Única"),"",EDATE(D492,IF(F492="Mensal",1,IF(F492="Trimestral",3,IF(F492="Semestral",6,12)))))</f>
        <v/>
      </c>
      <c r="L492" s="14" t="n"/>
    </row>
    <row r="493">
      <c r="A493" s="14" t="n"/>
      <c r="B493" s="14" t="n"/>
      <c r="C493" s="14" t="n"/>
      <c r="D493" s="15" t="n"/>
      <c r="E493" s="16" t="n"/>
      <c r="F493" s="14" t="n"/>
      <c r="G493" s="17" t="n"/>
      <c r="H493" s="14" t="n"/>
      <c r="I493" s="17">
        <f>IF(OR(A493="",D493="",H493="Feito"),"",D493-TODAY())</f>
        <v/>
      </c>
      <c r="J493" s="14">
        <f>IF(OR(A493="",D493=""),"",IF(H493="Feito","FEITO",IF(I493&lt;0,"VENCIDO",IF(I493&lt;=IF(G493="",7,G493),"VENCE EM BREVE","No prazo"))))</f>
        <v/>
      </c>
      <c r="K493" s="15">
        <f>IF(OR(D493="",F493="",F493="Única"),"",EDATE(D493,IF(F493="Mensal",1,IF(F493="Trimestral",3,IF(F493="Semestral",6,12)))))</f>
        <v/>
      </c>
      <c r="L493" s="14" t="n"/>
    </row>
    <row r="494">
      <c r="A494" s="14" t="n"/>
      <c r="B494" s="14" t="n"/>
      <c r="C494" s="14" t="n"/>
      <c r="D494" s="15" t="n"/>
      <c r="E494" s="16" t="n"/>
      <c r="F494" s="14" t="n"/>
      <c r="G494" s="17" t="n"/>
      <c r="H494" s="14" t="n"/>
      <c r="I494" s="17">
        <f>IF(OR(A494="",D494="",H494="Feito"),"",D494-TODAY())</f>
        <v/>
      </c>
      <c r="J494" s="14">
        <f>IF(OR(A494="",D494=""),"",IF(H494="Feito","FEITO",IF(I494&lt;0,"VENCIDO",IF(I494&lt;=IF(G494="",7,G494),"VENCE EM BREVE","No prazo"))))</f>
        <v/>
      </c>
      <c r="K494" s="15">
        <f>IF(OR(D494="",F494="",F494="Única"),"",EDATE(D494,IF(F494="Mensal",1,IF(F494="Trimestral",3,IF(F494="Semestral",6,12)))))</f>
        <v/>
      </c>
      <c r="L494" s="14" t="n"/>
    </row>
    <row r="495">
      <c r="A495" s="14" t="n"/>
      <c r="B495" s="14" t="n"/>
      <c r="C495" s="14" t="n"/>
      <c r="D495" s="15" t="n"/>
      <c r="E495" s="16" t="n"/>
      <c r="F495" s="14" t="n"/>
      <c r="G495" s="17" t="n"/>
      <c r="H495" s="14" t="n"/>
      <c r="I495" s="17">
        <f>IF(OR(A495="",D495="",H495="Feito"),"",D495-TODAY())</f>
        <v/>
      </c>
      <c r="J495" s="14">
        <f>IF(OR(A495="",D495=""),"",IF(H495="Feito","FEITO",IF(I495&lt;0,"VENCIDO",IF(I495&lt;=IF(G495="",7,G495),"VENCE EM BREVE","No prazo"))))</f>
        <v/>
      </c>
      <c r="K495" s="15">
        <f>IF(OR(D495="",F495="",F495="Única"),"",EDATE(D495,IF(F495="Mensal",1,IF(F495="Trimestral",3,IF(F495="Semestral",6,12)))))</f>
        <v/>
      </c>
      <c r="L495" s="14" t="n"/>
    </row>
    <row r="496">
      <c r="A496" s="14" t="n"/>
      <c r="B496" s="14" t="n"/>
      <c r="C496" s="14" t="n"/>
      <c r="D496" s="15" t="n"/>
      <c r="E496" s="16" t="n"/>
      <c r="F496" s="14" t="n"/>
      <c r="G496" s="17" t="n"/>
      <c r="H496" s="14" t="n"/>
      <c r="I496" s="17">
        <f>IF(OR(A496="",D496="",H496="Feito"),"",D496-TODAY())</f>
        <v/>
      </c>
      <c r="J496" s="14">
        <f>IF(OR(A496="",D496=""),"",IF(H496="Feito","FEITO",IF(I496&lt;0,"VENCIDO",IF(I496&lt;=IF(G496="",7,G496),"VENCE EM BREVE","No prazo"))))</f>
        <v/>
      </c>
      <c r="K496" s="15">
        <f>IF(OR(D496="",F496="",F496="Única"),"",EDATE(D496,IF(F496="Mensal",1,IF(F496="Trimestral",3,IF(F496="Semestral",6,12)))))</f>
        <v/>
      </c>
      <c r="L496" s="14" t="n"/>
    </row>
    <row r="497">
      <c r="A497" s="14" t="n"/>
      <c r="B497" s="14" t="n"/>
      <c r="C497" s="14" t="n"/>
      <c r="D497" s="15" t="n"/>
      <c r="E497" s="16" t="n"/>
      <c r="F497" s="14" t="n"/>
      <c r="G497" s="17" t="n"/>
      <c r="H497" s="14" t="n"/>
      <c r="I497" s="17">
        <f>IF(OR(A497="",D497="",H497="Feito"),"",D497-TODAY())</f>
        <v/>
      </c>
      <c r="J497" s="14">
        <f>IF(OR(A497="",D497=""),"",IF(H497="Feito","FEITO",IF(I497&lt;0,"VENCIDO",IF(I497&lt;=IF(G497="",7,G497),"VENCE EM BREVE","No prazo"))))</f>
        <v/>
      </c>
      <c r="K497" s="15">
        <f>IF(OR(D497="",F497="",F497="Única"),"",EDATE(D497,IF(F497="Mensal",1,IF(F497="Trimestral",3,IF(F497="Semestral",6,12)))))</f>
        <v/>
      </c>
      <c r="L497" s="14" t="n"/>
    </row>
    <row r="498">
      <c r="A498" s="14" t="n"/>
      <c r="B498" s="14" t="n"/>
      <c r="C498" s="14" t="n"/>
      <c r="D498" s="15" t="n"/>
      <c r="E498" s="16" t="n"/>
      <c r="F498" s="14" t="n"/>
      <c r="G498" s="17" t="n"/>
      <c r="H498" s="14" t="n"/>
      <c r="I498" s="17">
        <f>IF(OR(A498="",D498="",H498="Feito"),"",D498-TODAY())</f>
        <v/>
      </c>
      <c r="J498" s="14">
        <f>IF(OR(A498="",D498=""),"",IF(H498="Feito","FEITO",IF(I498&lt;0,"VENCIDO",IF(I498&lt;=IF(G498="",7,G498),"VENCE EM BREVE","No prazo"))))</f>
        <v/>
      </c>
      <c r="K498" s="15">
        <f>IF(OR(D498="",F498="",F498="Única"),"",EDATE(D498,IF(F498="Mensal",1,IF(F498="Trimestral",3,IF(F498="Semestral",6,12)))))</f>
        <v/>
      </c>
      <c r="L498" s="14" t="n"/>
    </row>
    <row r="499">
      <c r="A499" s="14" t="n"/>
      <c r="B499" s="14" t="n"/>
      <c r="C499" s="14" t="n"/>
      <c r="D499" s="15" t="n"/>
      <c r="E499" s="16" t="n"/>
      <c r="F499" s="14" t="n"/>
      <c r="G499" s="17" t="n"/>
      <c r="H499" s="14" t="n"/>
      <c r="I499" s="17">
        <f>IF(OR(A499="",D499="",H499="Feito"),"",D499-TODAY())</f>
        <v/>
      </c>
      <c r="J499" s="14">
        <f>IF(OR(A499="",D499=""),"",IF(H499="Feito","FEITO",IF(I499&lt;0,"VENCIDO",IF(I499&lt;=IF(G499="",7,G499),"VENCE EM BREVE","No prazo"))))</f>
        <v/>
      </c>
      <c r="K499" s="15">
        <f>IF(OR(D499="",F499="",F499="Única"),"",EDATE(D499,IF(F499="Mensal",1,IF(F499="Trimestral",3,IF(F499="Semestral",6,12)))))</f>
        <v/>
      </c>
      <c r="L499" s="14" t="n"/>
    </row>
    <row r="500">
      <c r="A500" s="14" t="n"/>
      <c r="B500" s="14" t="n"/>
      <c r="C500" s="14" t="n"/>
      <c r="D500" s="15" t="n"/>
      <c r="E500" s="16" t="n"/>
      <c r="F500" s="14" t="n"/>
      <c r="G500" s="17" t="n"/>
      <c r="H500" s="14" t="n"/>
      <c r="I500" s="17">
        <f>IF(OR(A500="",D500="",H500="Feito"),"",D500-TODAY())</f>
        <v/>
      </c>
      <c r="J500" s="14">
        <f>IF(OR(A500="",D500=""),"",IF(H500="Feito","FEITO",IF(I500&lt;0,"VENCIDO",IF(I500&lt;=IF(G500="",7,G500),"VENCE EM BREVE","No prazo"))))</f>
        <v/>
      </c>
      <c r="K500" s="15">
        <f>IF(OR(D500="",F500="",F500="Única"),"",EDATE(D500,IF(F500="Mensal",1,IF(F500="Trimestral",3,IF(F500="Semestral",6,12)))))</f>
        <v/>
      </c>
      <c r="L500" s="14" t="n"/>
    </row>
    <row r="501">
      <c r="A501" s="14" t="n"/>
      <c r="B501" s="14" t="n"/>
      <c r="C501" s="14" t="n"/>
      <c r="D501" s="15" t="n"/>
      <c r="E501" s="16" t="n"/>
      <c r="F501" s="14" t="n"/>
      <c r="G501" s="17" t="n"/>
      <c r="H501" s="14" t="n"/>
      <c r="I501" s="17">
        <f>IF(OR(A501="",D501="",H501="Feito"),"",D501-TODAY())</f>
        <v/>
      </c>
      <c r="J501" s="14">
        <f>IF(OR(A501="",D501=""),"",IF(H501="Feito","FEITO",IF(I501&lt;0,"VENCIDO",IF(I501&lt;=IF(G501="",7,G501),"VENCE EM BREVE","No prazo"))))</f>
        <v/>
      </c>
      <c r="K501" s="15">
        <f>IF(OR(D501="",F501="",F501="Única"),"",EDATE(D501,IF(F501="Mensal",1,IF(F501="Trimestral",3,IF(F501="Semestral",6,12)))))</f>
        <v/>
      </c>
      <c r="L501" s="14" t="n"/>
    </row>
    <row r="502">
      <c r="A502" s="14" t="n"/>
      <c r="B502" s="14" t="n"/>
      <c r="C502" s="14" t="n"/>
      <c r="D502" s="15" t="n"/>
      <c r="E502" s="16" t="n"/>
      <c r="F502" s="14" t="n"/>
      <c r="G502" s="17" t="n"/>
      <c r="H502" s="14" t="n"/>
      <c r="I502" s="17">
        <f>IF(OR(A502="",D502="",H502="Feito"),"",D502-TODAY())</f>
        <v/>
      </c>
      <c r="J502" s="14">
        <f>IF(OR(A502="",D502=""),"",IF(H502="Feito","FEITO",IF(I502&lt;0,"VENCIDO",IF(I502&lt;=IF(G502="",7,G502),"VENCE EM BREVE","No prazo"))))</f>
        <v/>
      </c>
      <c r="K502" s="15">
        <f>IF(OR(D502="",F502="",F502="Única"),"",EDATE(D502,IF(F502="Mensal",1,IF(F502="Trimestral",3,IF(F502="Semestral",6,12)))))</f>
        <v/>
      </c>
      <c r="L502" s="14" t="n"/>
    </row>
    <row r="503">
      <c r="A503" s="14" t="n"/>
      <c r="B503" s="14" t="n"/>
      <c r="C503" s="14" t="n"/>
      <c r="D503" s="15" t="n"/>
      <c r="E503" s="16" t="n"/>
      <c r="F503" s="14" t="n"/>
      <c r="G503" s="17" t="n"/>
      <c r="H503" s="14" t="n"/>
      <c r="I503" s="17">
        <f>IF(OR(A503="",D503="",H503="Feito"),"",D503-TODAY())</f>
        <v/>
      </c>
      <c r="J503" s="14">
        <f>IF(OR(A503="",D503=""),"",IF(H503="Feito","FEITO",IF(I503&lt;0,"VENCIDO",IF(I503&lt;=IF(G503="",7,G503),"VENCE EM BREVE","No prazo"))))</f>
        <v/>
      </c>
      <c r="K503" s="15">
        <f>IF(OR(D503="",F503="",F503="Única"),"",EDATE(D503,IF(F503="Mensal",1,IF(F503="Trimestral",3,IF(F503="Semestral",6,12)))))</f>
        <v/>
      </c>
      <c r="L503" s="14" t="n"/>
    </row>
    <row r="504">
      <c r="A504" s="14" t="n"/>
      <c r="B504" s="14" t="n"/>
      <c r="C504" s="14" t="n"/>
      <c r="D504" s="15" t="n"/>
      <c r="E504" s="16" t="n"/>
      <c r="F504" s="14" t="n"/>
      <c r="G504" s="17" t="n"/>
      <c r="H504" s="14" t="n"/>
      <c r="I504" s="17">
        <f>IF(OR(A504="",D504="",H504="Feito"),"",D504-TODAY())</f>
        <v/>
      </c>
      <c r="J504" s="14">
        <f>IF(OR(A504="",D504=""),"",IF(H504="Feito","FEITO",IF(I504&lt;0,"VENCIDO",IF(I504&lt;=IF(G504="",7,G504),"VENCE EM BREVE","No prazo"))))</f>
        <v/>
      </c>
      <c r="K504" s="15">
        <f>IF(OR(D504="",F504="",F504="Única"),"",EDATE(D504,IF(F504="Mensal",1,IF(F504="Trimestral",3,IF(F504="Semestral",6,12)))))</f>
        <v/>
      </c>
      <c r="L504" s="14" t="n"/>
    </row>
  </sheetData>
  <conditionalFormatting sqref="J5:J504">
    <cfRule type="expression" priority="1" dxfId="0">
      <formula>J5="VENCIDO"</formula>
    </cfRule>
    <cfRule type="expression" priority="2" dxfId="1">
      <formula>J5="VENCE EM BREVE"</formula>
    </cfRule>
    <cfRule type="expression" priority="3" dxfId="2">
      <formula>OR(J5="No prazo",J5="FEITO")</formula>
    </cfRule>
  </conditionalFormatting>
  <dataValidations count="3">
    <dataValidation sqref="B5:B504" showDropDown="0" showInputMessage="0" showErrorMessage="0" allowBlank="1" errorTitle="Valor inválido" error="Escolha um valor da lista." type="list">
      <formula1>"Imposto / guia,Conta fixa,Contrato,Alvará / licença,Certificado digital,Seguro,Sistema / assinatura,Fornecedor,Outro"</formula1>
    </dataValidation>
    <dataValidation sqref="F5:F504" showDropDown="0" showInputMessage="0" showErrorMessage="0" allowBlank="1" errorTitle="Valor inválido" error="Escolha um valor da lista." type="list">
      <formula1>"Única,Mensal,Trimestral,Semestral,Anual"</formula1>
    </dataValidation>
    <dataValidation sqref="H5:H504" showDropDown="0" showInputMessage="0" showErrorMessage="0" allowBlank="1" errorTitle="Valor inválido" error="Escolha um valor da lista." type="list">
      <formula1>"Pendente,Feito"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Resolvo Já</dc:creator>
  <dc:title xmlns:dc="http://purl.org/dc/elements/1.1/">controle-de-vencimentos</dc:title>
  <dcterms:created xmlns:dcterms="http://purl.org/dc/terms/" xmlns:xsi="http://www.w3.org/2001/XMLSchema-instance" xsi:type="dcterms:W3CDTF">2026-10-04T21:08:13Z</dcterms:created>
  <dcterms:modified xmlns:dcterms="http://purl.org/dc/terms/" xmlns:xsi="http://www.w3.org/2001/XMLSchema-instance" xsi:type="dcterms:W3CDTF">2026-10-04T21:08:13Z</dcterms:modified>
</cp:coreProperties>
</file>