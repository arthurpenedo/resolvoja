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Movimenta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/YYYY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1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0" fontId="5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9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Controle de Estoque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Na aba Produtos, cadastre cada item com um código único, o estoque que você tem hoje (Estoque inicial) e o Estoque mínimo, a quantidade abaixo da qual você precisa comprar de novo.</t>
        </is>
      </c>
    </row>
    <row r="6">
      <c r="A6" s="4" t="n">
        <v>2</v>
      </c>
      <c r="B6" s="5" t="inlineStr">
        <is>
          <t>Toda vez que um produto entrar (compra, devolução) ou sair (venda, perda, uso interno), registre uma linha na aba Movimentações. Escolha o código na lista; o nome do produto aparece sozinho.</t>
        </is>
      </c>
    </row>
    <row r="7">
      <c r="A7" s="4" t="n">
        <v>3</v>
      </c>
      <c r="B7" s="5" t="inlineStr">
        <is>
          <t>Na aba Produtos, o Saldo atual e a Situação são recalculados na hora: verde = OK, amarelo = repor, vermelho = sem estoque.</t>
        </is>
      </c>
    </row>
    <row r="8">
      <c r="A8" s="4" t="n">
        <v>4</v>
      </c>
      <c r="B8" s="5" t="inlineStr">
        <is>
          <t>Use a coluna Sugestão de compra para montar o pedido ao fornecedor: ela indica quanto comprar para voltar ao dobro do estoque mínimo.</t>
        </is>
      </c>
    </row>
    <row r="9">
      <c r="A9" s="4" t="n">
        <v>5</v>
      </c>
      <c r="B9" s="5" t="inlineStr">
        <is>
          <t>O Painel resume quantos itens precisam de reposição e quanto dinheiro está parado em estoque.</t>
        </is>
      </c>
    </row>
    <row r="11">
      <c r="B11" s="3" t="inlineStr">
        <is>
          <t>Legenda das colunas</t>
        </is>
      </c>
    </row>
    <row r="12">
      <c r="B12" s="6" t="inlineStr">
        <is>
          <t>Cabeçalho azul escuro: você preenche.</t>
        </is>
      </c>
    </row>
    <row r="13">
      <c r="B13" s="7" t="inlineStr">
        <is>
          <t>Cabeçalho azul claro: calculado automaticamente, não precisa mexer.</t>
        </is>
      </c>
    </row>
    <row r="15">
      <c r="B15" s="3" t="inlineStr">
        <is>
          <t>Dicas</t>
        </is>
      </c>
    </row>
    <row r="16">
      <c r="B16" s="5" t="inlineStr">
        <is>
          <t>• Faça um inventário (contagem física) uma vez por mês. Se a contagem não bater com o Saldo atual, registre a diferença como Entrada ou Saída com a observação "ajuste de inventário".</t>
        </is>
      </c>
    </row>
    <row r="17">
      <c r="B17" s="5" t="inlineStr">
        <is>
          <t>• Para definir o estoque mínimo: média vendida por dia × dias que o fornecedor leva para entregar, com uma folga.</t>
        </is>
      </c>
    </row>
    <row r="18">
      <c r="B18" s="5" t="inlineStr">
        <is>
          <t>• Itens com muito valor parado e pouca saída são candidatos a promoção ou a comprar menos na próxima vez.</t>
        </is>
      </c>
    </row>
    <row r="20">
      <c r="B20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do Estoque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Produtos cadastrados</t>
        </is>
      </c>
      <c r="B4" s="10">
        <f>COUNTA(Produtos!$A$5:$A$504)</f>
        <v/>
      </c>
    </row>
    <row r="5" ht="24" customHeight="1">
      <c r="A5" s="9" t="inlineStr">
        <is>
          <t>Itens para repor</t>
        </is>
      </c>
      <c r="B5" s="10">
        <f>COUNTIF(Produtos!$L$5:$L$504,"REPOR")</f>
        <v/>
      </c>
    </row>
    <row r="6" ht="24" customHeight="1">
      <c r="A6" s="9" t="inlineStr">
        <is>
          <t>Itens sem estoque</t>
        </is>
      </c>
      <c r="B6" s="10">
        <f>COUNTIF(Produtos!$L$5:$L$504,"SEM ESTOQUE")</f>
        <v/>
      </c>
    </row>
    <row r="7" ht="24" customHeight="1">
      <c r="A7" s="9" t="inlineStr">
        <is>
          <t>Valor total em estoque (custo)</t>
        </is>
      </c>
      <c r="B7" s="11">
        <f>SUM(Produtos!$M$5:$M$504)</f>
        <v/>
      </c>
    </row>
    <row r="8" ht="24" customHeight="1">
      <c r="A8" s="9" t="inlineStr">
        <is>
          <t>Unidades a comprar (sugestão)</t>
        </is>
      </c>
      <c r="B8" s="10">
        <f>SUM(Produtos!$N$5:$N$504)</f>
        <v/>
      </c>
    </row>
    <row r="9" ht="24" customHeight="1">
      <c r="A9" s="9" t="inlineStr">
        <is>
          <t>Movimentações nos últimos 30 dias</t>
        </is>
      </c>
      <c r="B9" s="10">
        <f>COUNTIFS('Movimentações'!$A$5:$A$5000,"&gt;="&amp;(TODAY()-30))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10" customWidth="1" min="15" max="15"/>
  </cols>
  <sheetData>
    <row r="1" ht="28" customHeight="1">
      <c r="A1" s="1" t="inlineStr">
        <is>
          <t>Produtos</t>
        </is>
      </c>
    </row>
    <row r="2">
      <c r="A2" s="2" t="inlineStr">
        <is>
          <t>Um produto por linha. O código precisa ser único.</t>
        </is>
      </c>
    </row>
    <row r="4" ht="32" customHeight="1">
      <c r="A4" s="12" t="inlineStr">
        <is>
          <t>Código</t>
        </is>
      </c>
      <c r="B4" s="12" t="inlineStr">
        <is>
          <t>Produto</t>
        </is>
      </c>
      <c r="C4" s="12" t="inlineStr">
        <is>
          <t>Categoria</t>
        </is>
      </c>
      <c r="D4" s="12" t="inlineStr">
        <is>
          <t>Unidade</t>
        </is>
      </c>
      <c r="E4" s="12" t="inlineStr">
        <is>
          <t>Custo unitário</t>
        </is>
      </c>
      <c r="F4" s="12" t="inlineStr">
        <is>
          <t>Preço de venda</t>
        </is>
      </c>
      <c r="G4" s="12" t="inlineStr">
        <is>
          <t>Estoque inicial</t>
        </is>
      </c>
      <c r="H4" s="12" t="inlineStr">
        <is>
          <t>Estoque mínimo</t>
        </is>
      </c>
      <c r="I4" s="13" t="inlineStr">
        <is>
          <t>Entradas</t>
        </is>
      </c>
      <c r="J4" s="13" t="inlineStr">
        <is>
          <t>Saídas</t>
        </is>
      </c>
      <c r="K4" s="13" t="inlineStr">
        <is>
          <t>Saldo atual</t>
        </is>
      </c>
      <c r="L4" s="13" t="inlineStr">
        <is>
          <t>Situação</t>
        </is>
      </c>
      <c r="M4" s="13" t="inlineStr">
        <is>
          <t>Valor em estoque</t>
        </is>
      </c>
      <c r="N4" s="13" t="inlineStr">
        <is>
          <t>Sugestão de compra</t>
        </is>
      </c>
      <c r="O4" s="13" t="inlineStr">
        <is>
          <t>Margem</t>
        </is>
      </c>
    </row>
    <row r="5">
      <c r="A5" s="14" t="inlineStr">
        <is>
          <t>P001</t>
        </is>
      </c>
      <c r="B5" s="14" t="inlineStr">
        <is>
          <t>Café torrado 500 g</t>
        </is>
      </c>
      <c r="C5" s="14" t="inlineStr">
        <is>
          <t>Mercearia</t>
        </is>
      </c>
      <c r="D5" s="14" t="inlineStr">
        <is>
          <t>pct</t>
        </is>
      </c>
      <c r="E5" s="15" t="n">
        <v>14.9</v>
      </c>
      <c r="F5" s="15" t="n">
        <v>24.9</v>
      </c>
      <c r="G5" s="16" t="n">
        <v>40</v>
      </c>
      <c r="H5" s="16" t="n">
        <v>15</v>
      </c>
      <c r="I5" s="16">
        <f>IF(A5="","",SUMIFS('Movimentações'!$E$5:$E$5000,'Movimentações'!$B$5:$B$5000,A5,'Movimentações'!$D$5:$D$5000,"Entrada"))</f>
        <v/>
      </c>
      <c r="J5" s="16">
        <f>IF(A5="","",SUMIFS('Movimentações'!$E$5:$E$5000,'Movimentações'!$B$5:$B$5000,A5,'Movimentações'!$D$5:$D$5000,"Saída"))</f>
        <v/>
      </c>
      <c r="K5" s="16">
        <f>IF(A5="","",G5+I5-J5)</f>
        <v/>
      </c>
      <c r="L5" s="14">
        <f>IF(A5="","",IF(K5&lt;=0,"SEM ESTOQUE",IF(K5&lt;=H5,"REPOR","OK")))</f>
        <v/>
      </c>
      <c r="M5" s="15">
        <f>IF(A5="","",MAX(K5,0)*E5)</f>
        <v/>
      </c>
      <c r="N5" s="16">
        <f>IF(A5="","",IF(K5&lt;=H5,MAX(2*H5-K5,0),0))</f>
        <v/>
      </c>
      <c r="O5" s="17">
        <f>IF(OR(A5="",F5=0,F5=""),"",(F5-E5)/F5)</f>
        <v/>
      </c>
    </row>
    <row r="6">
      <c r="A6" s="14" t="inlineStr">
        <is>
          <t>P002</t>
        </is>
      </c>
      <c r="B6" s="14" t="inlineStr">
        <is>
          <t>Açúcar refinado 1 kg</t>
        </is>
      </c>
      <c r="C6" s="14" t="inlineStr">
        <is>
          <t>Mercearia</t>
        </is>
      </c>
      <c r="D6" s="14" t="inlineStr">
        <is>
          <t>pct</t>
        </is>
      </c>
      <c r="E6" s="15" t="n">
        <v>4.2</v>
      </c>
      <c r="F6" s="15" t="n">
        <v>6.99</v>
      </c>
      <c r="G6" s="16" t="n">
        <v>25</v>
      </c>
      <c r="H6" s="16" t="n">
        <v>20</v>
      </c>
      <c r="I6" s="16">
        <f>IF(A6="","",SUMIFS('Movimentações'!$E$5:$E$5000,'Movimentações'!$B$5:$B$5000,A6,'Movimentações'!$D$5:$D$5000,"Entrada"))</f>
        <v/>
      </c>
      <c r="J6" s="16">
        <f>IF(A6="","",SUMIFS('Movimentações'!$E$5:$E$5000,'Movimentações'!$B$5:$B$5000,A6,'Movimentações'!$D$5:$D$5000,"Saída"))</f>
        <v/>
      </c>
      <c r="K6" s="16">
        <f>IF(A6="","",G6+I6-J6)</f>
        <v/>
      </c>
      <c r="L6" s="14">
        <f>IF(A6="","",IF(K6&lt;=0,"SEM ESTOQUE",IF(K6&lt;=H6,"REPOR","OK")))</f>
        <v/>
      </c>
      <c r="M6" s="15">
        <f>IF(A6="","",MAX(K6,0)*E6)</f>
        <v/>
      </c>
      <c r="N6" s="16">
        <f>IF(A6="","",IF(K6&lt;=H6,MAX(2*H6-K6,0),0))</f>
        <v/>
      </c>
      <c r="O6" s="17">
        <f>IF(OR(A6="",F6=0,F6=""),"",(F6-E6)/F6)</f>
        <v/>
      </c>
    </row>
    <row r="7">
      <c r="A7" s="14" t="inlineStr">
        <is>
          <t>P003</t>
        </is>
      </c>
      <c r="B7" s="14" t="inlineStr">
        <is>
          <t>Leite integral 1 L</t>
        </is>
      </c>
      <c r="C7" s="14" t="inlineStr">
        <is>
          <t>Laticínios</t>
        </is>
      </c>
      <c r="D7" s="14" t="inlineStr">
        <is>
          <t>L</t>
        </is>
      </c>
      <c r="E7" s="15" t="n">
        <v>3.8</v>
      </c>
      <c r="F7" s="15" t="n">
        <v>5.99</v>
      </c>
      <c r="G7" s="16" t="n">
        <v>60</v>
      </c>
      <c r="H7" s="16" t="n">
        <v>30</v>
      </c>
      <c r="I7" s="16">
        <f>IF(A7="","",SUMIFS('Movimentações'!$E$5:$E$5000,'Movimentações'!$B$5:$B$5000,A7,'Movimentações'!$D$5:$D$5000,"Entrada"))</f>
        <v/>
      </c>
      <c r="J7" s="16">
        <f>IF(A7="","",SUMIFS('Movimentações'!$E$5:$E$5000,'Movimentações'!$B$5:$B$5000,A7,'Movimentações'!$D$5:$D$5000,"Saída"))</f>
        <v/>
      </c>
      <c r="K7" s="16">
        <f>IF(A7="","",G7+I7-J7)</f>
        <v/>
      </c>
      <c r="L7" s="14">
        <f>IF(A7="","",IF(K7&lt;=0,"SEM ESTOQUE",IF(K7&lt;=H7,"REPOR","OK")))</f>
        <v/>
      </c>
      <c r="M7" s="15">
        <f>IF(A7="","",MAX(K7,0)*E7)</f>
        <v/>
      </c>
      <c r="N7" s="16">
        <f>IF(A7="","",IF(K7&lt;=H7,MAX(2*H7-K7,0),0))</f>
        <v/>
      </c>
      <c r="O7" s="17">
        <f>IF(OR(A7="",F7=0,F7=""),"",(F7-E7)/F7)</f>
        <v/>
      </c>
    </row>
    <row r="8">
      <c r="A8" s="14" t="inlineStr">
        <is>
          <t>P004</t>
        </is>
      </c>
      <c r="B8" s="14" t="inlineStr">
        <is>
          <t>Copo descartável 200 ml</t>
        </is>
      </c>
      <c r="C8" s="14" t="inlineStr">
        <is>
          <t>Descartáveis</t>
        </is>
      </c>
      <c r="D8" s="14" t="inlineStr">
        <is>
          <t>pct</t>
        </is>
      </c>
      <c r="E8" s="15" t="n">
        <v>6.5</v>
      </c>
      <c r="F8" s="15" t="n">
        <v>11</v>
      </c>
      <c r="G8" s="16" t="n">
        <v>12</v>
      </c>
      <c r="H8" s="16" t="n">
        <v>10</v>
      </c>
      <c r="I8" s="16">
        <f>IF(A8="","",SUMIFS('Movimentações'!$E$5:$E$5000,'Movimentações'!$B$5:$B$5000,A8,'Movimentações'!$D$5:$D$5000,"Entrada"))</f>
        <v/>
      </c>
      <c r="J8" s="16">
        <f>IF(A8="","",SUMIFS('Movimentações'!$E$5:$E$5000,'Movimentações'!$B$5:$B$5000,A8,'Movimentações'!$D$5:$D$5000,"Saída"))</f>
        <v/>
      </c>
      <c r="K8" s="16">
        <f>IF(A8="","",G8+I8-J8)</f>
        <v/>
      </c>
      <c r="L8" s="14">
        <f>IF(A8="","",IF(K8&lt;=0,"SEM ESTOQUE",IF(K8&lt;=H8,"REPOR","OK")))</f>
        <v/>
      </c>
      <c r="M8" s="15">
        <f>IF(A8="","",MAX(K8,0)*E8)</f>
        <v/>
      </c>
      <c r="N8" s="16">
        <f>IF(A8="","",IF(K8&lt;=H8,MAX(2*H8-K8,0),0))</f>
        <v/>
      </c>
      <c r="O8" s="17">
        <f>IF(OR(A8="",F8=0,F8=""),"",(F8-E8)/F8)</f>
        <v/>
      </c>
    </row>
    <row r="9">
      <c r="A9" s="14" t="inlineStr">
        <is>
          <t>P005</t>
        </is>
      </c>
      <c r="B9" s="14" t="inlineStr">
        <is>
          <t>Guardanapo</t>
        </is>
      </c>
      <c r="C9" s="14" t="inlineStr">
        <is>
          <t>Descartáveis</t>
        </is>
      </c>
      <c r="D9" s="14" t="inlineStr">
        <is>
          <t>pct</t>
        </is>
      </c>
      <c r="E9" s="15" t="n">
        <v>2.1</v>
      </c>
      <c r="F9" s="15" t="n">
        <v>4.5</v>
      </c>
      <c r="G9" s="16" t="n">
        <v>30</v>
      </c>
      <c r="H9" s="16" t="n">
        <v>10</v>
      </c>
      <c r="I9" s="16">
        <f>IF(A9="","",SUMIFS('Movimentações'!$E$5:$E$5000,'Movimentações'!$B$5:$B$5000,A9,'Movimentações'!$D$5:$D$5000,"Entrada"))</f>
        <v/>
      </c>
      <c r="J9" s="16">
        <f>IF(A9="","",SUMIFS('Movimentações'!$E$5:$E$5000,'Movimentações'!$B$5:$B$5000,A9,'Movimentações'!$D$5:$D$5000,"Saída"))</f>
        <v/>
      </c>
      <c r="K9" s="16">
        <f>IF(A9="","",G9+I9-J9)</f>
        <v/>
      </c>
      <c r="L9" s="14">
        <f>IF(A9="","",IF(K9&lt;=0,"SEM ESTOQUE",IF(K9&lt;=H9,"REPOR","OK")))</f>
        <v/>
      </c>
      <c r="M9" s="15">
        <f>IF(A9="","",MAX(K9,0)*E9)</f>
        <v/>
      </c>
      <c r="N9" s="16">
        <f>IF(A9="","",IF(K9&lt;=H9,MAX(2*H9-K9,0),0))</f>
        <v/>
      </c>
      <c r="O9" s="17">
        <f>IF(OR(A9="",F9=0,F9=""),"",(F9-E9)/F9)</f>
        <v/>
      </c>
    </row>
    <row r="10">
      <c r="A10" s="14" t="inlineStr">
        <is>
          <t>P006</t>
        </is>
      </c>
      <c r="B10" s="14" t="inlineStr">
        <is>
          <t>Chocolate em pó 400 g</t>
        </is>
      </c>
      <c r="C10" s="14" t="inlineStr">
        <is>
          <t>Mercearia</t>
        </is>
      </c>
      <c r="D10" s="14" t="inlineStr">
        <is>
          <t>un</t>
        </is>
      </c>
      <c r="E10" s="15" t="n">
        <v>9.800000000000001</v>
      </c>
      <c r="F10" s="15" t="n">
        <v>16.9</v>
      </c>
      <c r="G10" s="16" t="n">
        <v>8</v>
      </c>
      <c r="H10" s="16" t="n">
        <v>6</v>
      </c>
      <c r="I10" s="16">
        <f>IF(A10="","",SUMIFS('Movimentações'!$E$5:$E$5000,'Movimentações'!$B$5:$B$5000,A10,'Movimentações'!$D$5:$D$5000,"Entrada"))</f>
        <v/>
      </c>
      <c r="J10" s="16">
        <f>IF(A10="","",SUMIFS('Movimentações'!$E$5:$E$5000,'Movimentações'!$B$5:$B$5000,A10,'Movimentações'!$D$5:$D$5000,"Saída"))</f>
        <v/>
      </c>
      <c r="K10" s="16">
        <f>IF(A10="","",G10+I10-J10)</f>
        <v/>
      </c>
      <c r="L10" s="14">
        <f>IF(A10="","",IF(K10&lt;=0,"SEM ESTOQUE",IF(K10&lt;=H10,"REPOR","OK")))</f>
        <v/>
      </c>
      <c r="M10" s="15">
        <f>IF(A10="","",MAX(K10,0)*E10)</f>
        <v/>
      </c>
      <c r="N10" s="16">
        <f>IF(A10="","",IF(K10&lt;=H10,MAX(2*H10-K10,0),0))</f>
        <v/>
      </c>
      <c r="O10" s="17">
        <f>IF(OR(A10="",F10=0,F10=""),"",(F10-E10)/F10)</f>
        <v/>
      </c>
    </row>
    <row r="11">
      <c r="A11" s="14" t="inlineStr">
        <is>
          <t>P007</t>
        </is>
      </c>
      <c r="B11" s="14" t="inlineStr">
        <is>
          <t>Filtro de papel 103</t>
        </is>
      </c>
      <c r="C11" s="14" t="inlineStr">
        <is>
          <t>Mercearia</t>
        </is>
      </c>
      <c r="D11" s="14" t="inlineStr">
        <is>
          <t>cx</t>
        </is>
      </c>
      <c r="E11" s="15" t="n">
        <v>3.9</v>
      </c>
      <c r="F11" s="15" t="n">
        <v>7.5</v>
      </c>
      <c r="G11" s="16" t="n">
        <v>18</v>
      </c>
      <c r="H11" s="16" t="n">
        <v>8</v>
      </c>
      <c r="I11" s="16">
        <f>IF(A11="","",SUMIFS('Movimentações'!$E$5:$E$5000,'Movimentações'!$B$5:$B$5000,A11,'Movimentações'!$D$5:$D$5000,"Entrada"))</f>
        <v/>
      </c>
      <c r="J11" s="16">
        <f>IF(A11="","",SUMIFS('Movimentações'!$E$5:$E$5000,'Movimentações'!$B$5:$B$5000,A11,'Movimentações'!$D$5:$D$5000,"Saída"))</f>
        <v/>
      </c>
      <c r="K11" s="16">
        <f>IF(A11="","",G11+I11-J11)</f>
        <v/>
      </c>
      <c r="L11" s="14">
        <f>IF(A11="","",IF(K11&lt;=0,"SEM ESTOQUE",IF(K11&lt;=H11,"REPOR","OK")))</f>
        <v/>
      </c>
      <c r="M11" s="15">
        <f>IF(A11="","",MAX(K11,0)*E11)</f>
        <v/>
      </c>
      <c r="N11" s="16">
        <f>IF(A11="","",IF(K11&lt;=H11,MAX(2*H11-K11,0),0))</f>
        <v/>
      </c>
      <c r="O11" s="17">
        <f>IF(OR(A11="",F11=0,F11=""),"",(F11-E11)/F11)</f>
        <v/>
      </c>
    </row>
    <row r="12">
      <c r="A12" s="14" t="inlineStr">
        <is>
          <t>P008</t>
        </is>
      </c>
      <c r="B12" s="14" t="inlineStr">
        <is>
          <t>Pão de queijo congelado 1 kg</t>
        </is>
      </c>
      <c r="C12" s="14" t="inlineStr">
        <is>
          <t>Congelados</t>
        </is>
      </c>
      <c r="D12" s="14" t="inlineStr">
        <is>
          <t>kg</t>
        </is>
      </c>
      <c r="E12" s="15" t="n">
        <v>18</v>
      </c>
      <c r="F12" s="15" t="n">
        <v>32</v>
      </c>
      <c r="G12" s="16" t="n">
        <v>10</v>
      </c>
      <c r="H12" s="16" t="n">
        <v>5</v>
      </c>
      <c r="I12" s="16">
        <f>IF(A12="","",SUMIFS('Movimentações'!$E$5:$E$5000,'Movimentações'!$B$5:$B$5000,A12,'Movimentações'!$D$5:$D$5000,"Entrada"))</f>
        <v/>
      </c>
      <c r="J12" s="16">
        <f>IF(A12="","",SUMIFS('Movimentações'!$E$5:$E$5000,'Movimentações'!$B$5:$B$5000,A12,'Movimentações'!$D$5:$D$5000,"Saída"))</f>
        <v/>
      </c>
      <c r="K12" s="16">
        <f>IF(A12="","",G12+I12-J12)</f>
        <v/>
      </c>
      <c r="L12" s="14">
        <f>IF(A12="","",IF(K12&lt;=0,"SEM ESTOQUE",IF(K12&lt;=H12,"REPOR","OK")))</f>
        <v/>
      </c>
      <c r="M12" s="15">
        <f>IF(A12="","",MAX(K12,0)*E12)</f>
        <v/>
      </c>
      <c r="N12" s="16">
        <f>IF(A12="","",IF(K12&lt;=H12,MAX(2*H12-K12,0),0))</f>
        <v/>
      </c>
      <c r="O12" s="17">
        <f>IF(OR(A12="",F12=0,F12=""),"",(F12-E12)/F12)</f>
        <v/>
      </c>
    </row>
    <row r="13">
      <c r="A13" s="14" t="n"/>
      <c r="B13" s="14" t="n"/>
      <c r="C13" s="14" t="n"/>
      <c r="D13" s="14" t="n"/>
      <c r="E13" s="15" t="n"/>
      <c r="F13" s="15" t="n"/>
      <c r="G13" s="16" t="n"/>
      <c r="H13" s="16" t="n"/>
      <c r="I13" s="16">
        <f>IF(A13="","",SUMIFS('Movimentações'!$E$5:$E$5000,'Movimentações'!$B$5:$B$5000,A13,'Movimentações'!$D$5:$D$5000,"Entrada"))</f>
        <v/>
      </c>
      <c r="J13" s="16">
        <f>IF(A13="","",SUMIFS('Movimentações'!$E$5:$E$5000,'Movimentações'!$B$5:$B$5000,A13,'Movimentações'!$D$5:$D$5000,"Saída"))</f>
        <v/>
      </c>
      <c r="K13" s="16">
        <f>IF(A13="","",G13+I13-J13)</f>
        <v/>
      </c>
      <c r="L13" s="14">
        <f>IF(A13="","",IF(K13&lt;=0,"SEM ESTOQUE",IF(K13&lt;=H13,"REPOR","OK")))</f>
        <v/>
      </c>
      <c r="M13" s="15">
        <f>IF(A13="","",MAX(K13,0)*E13)</f>
        <v/>
      </c>
      <c r="N13" s="16">
        <f>IF(A13="","",IF(K13&lt;=H13,MAX(2*H13-K13,0),0))</f>
        <v/>
      </c>
      <c r="O13" s="17">
        <f>IF(OR(A13="",F13=0,F13=""),"",(F13-E13)/F13)</f>
        <v/>
      </c>
    </row>
    <row r="14">
      <c r="A14" s="14" t="n"/>
      <c r="B14" s="14" t="n"/>
      <c r="C14" s="14" t="n"/>
      <c r="D14" s="14" t="n"/>
      <c r="E14" s="15" t="n"/>
      <c r="F14" s="15" t="n"/>
      <c r="G14" s="16" t="n"/>
      <c r="H14" s="16" t="n"/>
      <c r="I14" s="16">
        <f>IF(A14="","",SUMIFS('Movimentações'!$E$5:$E$5000,'Movimentações'!$B$5:$B$5000,A14,'Movimentações'!$D$5:$D$5000,"Entrada"))</f>
        <v/>
      </c>
      <c r="J14" s="16">
        <f>IF(A14="","",SUMIFS('Movimentações'!$E$5:$E$5000,'Movimentações'!$B$5:$B$5000,A14,'Movimentações'!$D$5:$D$5000,"Saída"))</f>
        <v/>
      </c>
      <c r="K14" s="16">
        <f>IF(A14="","",G14+I14-J14)</f>
        <v/>
      </c>
      <c r="L14" s="14">
        <f>IF(A14="","",IF(K14&lt;=0,"SEM ESTOQUE",IF(K14&lt;=H14,"REPOR","OK")))</f>
        <v/>
      </c>
      <c r="M14" s="15">
        <f>IF(A14="","",MAX(K14,0)*E14)</f>
        <v/>
      </c>
      <c r="N14" s="16">
        <f>IF(A14="","",IF(K14&lt;=H14,MAX(2*H14-K14,0),0))</f>
        <v/>
      </c>
      <c r="O14" s="17">
        <f>IF(OR(A14="",F14=0,F14=""),"",(F14-E14)/F14)</f>
        <v/>
      </c>
    </row>
    <row r="15">
      <c r="A15" s="14" t="n"/>
      <c r="B15" s="14" t="n"/>
      <c r="C15" s="14" t="n"/>
      <c r="D15" s="14" t="n"/>
      <c r="E15" s="15" t="n"/>
      <c r="F15" s="15" t="n"/>
      <c r="G15" s="16" t="n"/>
      <c r="H15" s="16" t="n"/>
      <c r="I15" s="16">
        <f>IF(A15="","",SUMIFS('Movimentações'!$E$5:$E$5000,'Movimentações'!$B$5:$B$5000,A15,'Movimentações'!$D$5:$D$5000,"Entrada"))</f>
        <v/>
      </c>
      <c r="J15" s="16">
        <f>IF(A15="","",SUMIFS('Movimentações'!$E$5:$E$5000,'Movimentações'!$B$5:$B$5000,A15,'Movimentações'!$D$5:$D$5000,"Saída"))</f>
        <v/>
      </c>
      <c r="K15" s="16">
        <f>IF(A15="","",G15+I15-J15)</f>
        <v/>
      </c>
      <c r="L15" s="14">
        <f>IF(A15="","",IF(K15&lt;=0,"SEM ESTOQUE",IF(K15&lt;=H15,"REPOR","OK")))</f>
        <v/>
      </c>
      <c r="M15" s="15">
        <f>IF(A15="","",MAX(K15,0)*E15)</f>
        <v/>
      </c>
      <c r="N15" s="16">
        <f>IF(A15="","",IF(K15&lt;=H15,MAX(2*H15-K15,0),0))</f>
        <v/>
      </c>
      <c r="O15" s="17">
        <f>IF(OR(A15="",F15=0,F15=""),"",(F15-E15)/F15)</f>
        <v/>
      </c>
    </row>
    <row r="16">
      <c r="A16" s="14" t="n"/>
      <c r="B16" s="14" t="n"/>
      <c r="C16" s="14" t="n"/>
      <c r="D16" s="14" t="n"/>
      <c r="E16" s="15" t="n"/>
      <c r="F16" s="15" t="n"/>
      <c r="G16" s="16" t="n"/>
      <c r="H16" s="16" t="n"/>
      <c r="I16" s="16">
        <f>IF(A16="","",SUMIFS('Movimentações'!$E$5:$E$5000,'Movimentações'!$B$5:$B$5000,A16,'Movimentações'!$D$5:$D$5000,"Entrada"))</f>
        <v/>
      </c>
      <c r="J16" s="16">
        <f>IF(A16="","",SUMIFS('Movimentações'!$E$5:$E$5000,'Movimentações'!$B$5:$B$5000,A16,'Movimentações'!$D$5:$D$5000,"Saída"))</f>
        <v/>
      </c>
      <c r="K16" s="16">
        <f>IF(A16="","",G16+I16-J16)</f>
        <v/>
      </c>
      <c r="L16" s="14">
        <f>IF(A16="","",IF(K16&lt;=0,"SEM ESTOQUE",IF(K16&lt;=H16,"REPOR","OK")))</f>
        <v/>
      </c>
      <c r="M16" s="15">
        <f>IF(A16="","",MAX(K16,0)*E16)</f>
        <v/>
      </c>
      <c r="N16" s="16">
        <f>IF(A16="","",IF(K16&lt;=H16,MAX(2*H16-K16,0),0))</f>
        <v/>
      </c>
      <c r="O16" s="17">
        <f>IF(OR(A16="",F16=0,F16=""),"",(F16-E16)/F16)</f>
        <v/>
      </c>
    </row>
    <row r="17">
      <c r="A17" s="14" t="n"/>
      <c r="B17" s="14" t="n"/>
      <c r="C17" s="14" t="n"/>
      <c r="D17" s="14" t="n"/>
      <c r="E17" s="15" t="n"/>
      <c r="F17" s="15" t="n"/>
      <c r="G17" s="16" t="n"/>
      <c r="H17" s="16" t="n"/>
      <c r="I17" s="16">
        <f>IF(A17="","",SUMIFS('Movimentações'!$E$5:$E$5000,'Movimentações'!$B$5:$B$5000,A17,'Movimentações'!$D$5:$D$5000,"Entrada"))</f>
        <v/>
      </c>
      <c r="J17" s="16">
        <f>IF(A17="","",SUMIFS('Movimentações'!$E$5:$E$5000,'Movimentações'!$B$5:$B$5000,A17,'Movimentações'!$D$5:$D$5000,"Saída"))</f>
        <v/>
      </c>
      <c r="K17" s="16">
        <f>IF(A17="","",G17+I17-J17)</f>
        <v/>
      </c>
      <c r="L17" s="14">
        <f>IF(A17="","",IF(K17&lt;=0,"SEM ESTOQUE",IF(K17&lt;=H17,"REPOR","OK")))</f>
        <v/>
      </c>
      <c r="M17" s="15">
        <f>IF(A17="","",MAX(K17,0)*E17)</f>
        <v/>
      </c>
      <c r="N17" s="16">
        <f>IF(A17="","",IF(K17&lt;=H17,MAX(2*H17-K17,0),0))</f>
        <v/>
      </c>
      <c r="O17" s="17">
        <f>IF(OR(A17="",F17=0,F17=""),"",(F17-E17)/F17)</f>
        <v/>
      </c>
    </row>
    <row r="18">
      <c r="A18" s="14" t="n"/>
      <c r="B18" s="14" t="n"/>
      <c r="C18" s="14" t="n"/>
      <c r="D18" s="14" t="n"/>
      <c r="E18" s="15" t="n"/>
      <c r="F18" s="15" t="n"/>
      <c r="G18" s="16" t="n"/>
      <c r="H18" s="16" t="n"/>
      <c r="I18" s="16">
        <f>IF(A18="","",SUMIFS('Movimentações'!$E$5:$E$5000,'Movimentações'!$B$5:$B$5000,A18,'Movimentações'!$D$5:$D$5000,"Entrada"))</f>
        <v/>
      </c>
      <c r="J18" s="16">
        <f>IF(A18="","",SUMIFS('Movimentações'!$E$5:$E$5000,'Movimentações'!$B$5:$B$5000,A18,'Movimentações'!$D$5:$D$5000,"Saída"))</f>
        <v/>
      </c>
      <c r="K18" s="16">
        <f>IF(A18="","",G18+I18-J18)</f>
        <v/>
      </c>
      <c r="L18" s="14">
        <f>IF(A18="","",IF(K18&lt;=0,"SEM ESTOQUE",IF(K18&lt;=H18,"REPOR","OK")))</f>
        <v/>
      </c>
      <c r="M18" s="15">
        <f>IF(A18="","",MAX(K18,0)*E18)</f>
        <v/>
      </c>
      <c r="N18" s="16">
        <f>IF(A18="","",IF(K18&lt;=H18,MAX(2*H18-K18,0),0))</f>
        <v/>
      </c>
      <c r="O18" s="17">
        <f>IF(OR(A18="",F18=0,F18=""),"",(F18-E18)/F18)</f>
        <v/>
      </c>
    </row>
    <row r="19">
      <c r="A19" s="14" t="n"/>
      <c r="B19" s="14" t="n"/>
      <c r="C19" s="14" t="n"/>
      <c r="D19" s="14" t="n"/>
      <c r="E19" s="15" t="n"/>
      <c r="F19" s="15" t="n"/>
      <c r="G19" s="16" t="n"/>
      <c r="H19" s="16" t="n"/>
      <c r="I19" s="16">
        <f>IF(A19="","",SUMIFS('Movimentações'!$E$5:$E$5000,'Movimentações'!$B$5:$B$5000,A19,'Movimentações'!$D$5:$D$5000,"Entrada"))</f>
        <v/>
      </c>
      <c r="J19" s="16">
        <f>IF(A19="","",SUMIFS('Movimentações'!$E$5:$E$5000,'Movimentações'!$B$5:$B$5000,A19,'Movimentações'!$D$5:$D$5000,"Saída"))</f>
        <v/>
      </c>
      <c r="K19" s="16">
        <f>IF(A19="","",G19+I19-J19)</f>
        <v/>
      </c>
      <c r="L19" s="14">
        <f>IF(A19="","",IF(K19&lt;=0,"SEM ESTOQUE",IF(K19&lt;=H19,"REPOR","OK")))</f>
        <v/>
      </c>
      <c r="M19" s="15">
        <f>IF(A19="","",MAX(K19,0)*E19)</f>
        <v/>
      </c>
      <c r="N19" s="16">
        <f>IF(A19="","",IF(K19&lt;=H19,MAX(2*H19-K19,0),0))</f>
        <v/>
      </c>
      <c r="O19" s="17">
        <f>IF(OR(A19="",F19=0,F19=""),"",(F19-E19)/F19)</f>
        <v/>
      </c>
    </row>
    <row r="20">
      <c r="A20" s="14" t="n"/>
      <c r="B20" s="14" t="n"/>
      <c r="C20" s="14" t="n"/>
      <c r="D20" s="14" t="n"/>
      <c r="E20" s="15" t="n"/>
      <c r="F20" s="15" t="n"/>
      <c r="G20" s="16" t="n"/>
      <c r="H20" s="16" t="n"/>
      <c r="I20" s="16">
        <f>IF(A20="","",SUMIFS('Movimentações'!$E$5:$E$5000,'Movimentações'!$B$5:$B$5000,A20,'Movimentações'!$D$5:$D$5000,"Entrada"))</f>
        <v/>
      </c>
      <c r="J20" s="16">
        <f>IF(A20="","",SUMIFS('Movimentações'!$E$5:$E$5000,'Movimentações'!$B$5:$B$5000,A20,'Movimentações'!$D$5:$D$5000,"Saída"))</f>
        <v/>
      </c>
      <c r="K20" s="16">
        <f>IF(A20="","",G20+I20-J20)</f>
        <v/>
      </c>
      <c r="L20" s="14">
        <f>IF(A20="","",IF(K20&lt;=0,"SEM ESTOQUE",IF(K20&lt;=H20,"REPOR","OK")))</f>
        <v/>
      </c>
      <c r="M20" s="15">
        <f>IF(A20="","",MAX(K20,0)*E20)</f>
        <v/>
      </c>
      <c r="N20" s="16">
        <f>IF(A20="","",IF(K20&lt;=H20,MAX(2*H20-K20,0),0))</f>
        <v/>
      </c>
      <c r="O20" s="17">
        <f>IF(OR(A20="",F20=0,F20=""),"",(F20-E20)/F20)</f>
        <v/>
      </c>
    </row>
    <row r="21">
      <c r="A21" s="14" t="n"/>
      <c r="B21" s="14" t="n"/>
      <c r="C21" s="14" t="n"/>
      <c r="D21" s="14" t="n"/>
      <c r="E21" s="15" t="n"/>
      <c r="F21" s="15" t="n"/>
      <c r="G21" s="16" t="n"/>
      <c r="H21" s="16" t="n"/>
      <c r="I21" s="16">
        <f>IF(A21="","",SUMIFS('Movimentações'!$E$5:$E$5000,'Movimentações'!$B$5:$B$5000,A21,'Movimentações'!$D$5:$D$5000,"Entrada"))</f>
        <v/>
      </c>
      <c r="J21" s="16">
        <f>IF(A21="","",SUMIFS('Movimentações'!$E$5:$E$5000,'Movimentações'!$B$5:$B$5000,A21,'Movimentações'!$D$5:$D$5000,"Saída"))</f>
        <v/>
      </c>
      <c r="K21" s="16">
        <f>IF(A21="","",G21+I21-J21)</f>
        <v/>
      </c>
      <c r="L21" s="14">
        <f>IF(A21="","",IF(K21&lt;=0,"SEM ESTOQUE",IF(K21&lt;=H21,"REPOR","OK")))</f>
        <v/>
      </c>
      <c r="M21" s="15">
        <f>IF(A21="","",MAX(K21,0)*E21)</f>
        <v/>
      </c>
      <c r="N21" s="16">
        <f>IF(A21="","",IF(K21&lt;=H21,MAX(2*H21-K21,0),0))</f>
        <v/>
      </c>
      <c r="O21" s="17">
        <f>IF(OR(A21="",F21=0,F21=""),"",(F21-E21)/F21)</f>
        <v/>
      </c>
    </row>
    <row r="22">
      <c r="A22" s="14" t="n"/>
      <c r="B22" s="14" t="n"/>
      <c r="C22" s="14" t="n"/>
      <c r="D22" s="14" t="n"/>
      <c r="E22" s="15" t="n"/>
      <c r="F22" s="15" t="n"/>
      <c r="G22" s="16" t="n"/>
      <c r="H22" s="16" t="n"/>
      <c r="I22" s="16">
        <f>IF(A22="","",SUMIFS('Movimentações'!$E$5:$E$5000,'Movimentações'!$B$5:$B$5000,A22,'Movimentações'!$D$5:$D$5000,"Entrada"))</f>
        <v/>
      </c>
      <c r="J22" s="16">
        <f>IF(A22="","",SUMIFS('Movimentações'!$E$5:$E$5000,'Movimentações'!$B$5:$B$5000,A22,'Movimentações'!$D$5:$D$5000,"Saída"))</f>
        <v/>
      </c>
      <c r="K22" s="16">
        <f>IF(A22="","",G22+I22-J22)</f>
        <v/>
      </c>
      <c r="L22" s="14">
        <f>IF(A22="","",IF(K22&lt;=0,"SEM ESTOQUE",IF(K22&lt;=H22,"REPOR","OK")))</f>
        <v/>
      </c>
      <c r="M22" s="15">
        <f>IF(A22="","",MAX(K22,0)*E22)</f>
        <v/>
      </c>
      <c r="N22" s="16">
        <f>IF(A22="","",IF(K22&lt;=H22,MAX(2*H22-K22,0),0))</f>
        <v/>
      </c>
      <c r="O22" s="17">
        <f>IF(OR(A22="",F22=0,F22=""),"",(F22-E22)/F22)</f>
        <v/>
      </c>
    </row>
    <row r="23">
      <c r="A23" s="14" t="n"/>
      <c r="B23" s="14" t="n"/>
      <c r="C23" s="14" t="n"/>
      <c r="D23" s="14" t="n"/>
      <c r="E23" s="15" t="n"/>
      <c r="F23" s="15" t="n"/>
      <c r="G23" s="16" t="n"/>
      <c r="H23" s="16" t="n"/>
      <c r="I23" s="16">
        <f>IF(A23="","",SUMIFS('Movimentações'!$E$5:$E$5000,'Movimentações'!$B$5:$B$5000,A23,'Movimentações'!$D$5:$D$5000,"Entrada"))</f>
        <v/>
      </c>
      <c r="J23" s="16">
        <f>IF(A23="","",SUMIFS('Movimentações'!$E$5:$E$5000,'Movimentações'!$B$5:$B$5000,A23,'Movimentações'!$D$5:$D$5000,"Saída"))</f>
        <v/>
      </c>
      <c r="K23" s="16">
        <f>IF(A23="","",G23+I23-J23)</f>
        <v/>
      </c>
      <c r="L23" s="14">
        <f>IF(A23="","",IF(K23&lt;=0,"SEM ESTOQUE",IF(K23&lt;=H23,"REPOR","OK")))</f>
        <v/>
      </c>
      <c r="M23" s="15">
        <f>IF(A23="","",MAX(K23,0)*E23)</f>
        <v/>
      </c>
      <c r="N23" s="16">
        <f>IF(A23="","",IF(K23&lt;=H23,MAX(2*H23-K23,0),0))</f>
        <v/>
      </c>
      <c r="O23" s="17">
        <f>IF(OR(A23="",F23=0,F23=""),"",(F23-E23)/F23)</f>
        <v/>
      </c>
    </row>
    <row r="24">
      <c r="A24" s="14" t="n"/>
      <c r="B24" s="14" t="n"/>
      <c r="C24" s="14" t="n"/>
      <c r="D24" s="14" t="n"/>
      <c r="E24" s="15" t="n"/>
      <c r="F24" s="15" t="n"/>
      <c r="G24" s="16" t="n"/>
      <c r="H24" s="16" t="n"/>
      <c r="I24" s="16">
        <f>IF(A24="","",SUMIFS('Movimentações'!$E$5:$E$5000,'Movimentações'!$B$5:$B$5000,A24,'Movimentações'!$D$5:$D$5000,"Entrada"))</f>
        <v/>
      </c>
      <c r="J24" s="16">
        <f>IF(A24="","",SUMIFS('Movimentações'!$E$5:$E$5000,'Movimentações'!$B$5:$B$5000,A24,'Movimentações'!$D$5:$D$5000,"Saída"))</f>
        <v/>
      </c>
      <c r="K24" s="16">
        <f>IF(A24="","",G24+I24-J24)</f>
        <v/>
      </c>
      <c r="L24" s="14">
        <f>IF(A24="","",IF(K24&lt;=0,"SEM ESTOQUE",IF(K24&lt;=H24,"REPOR","OK")))</f>
        <v/>
      </c>
      <c r="M24" s="15">
        <f>IF(A24="","",MAX(K24,0)*E24)</f>
        <v/>
      </c>
      <c r="N24" s="16">
        <f>IF(A24="","",IF(K24&lt;=H24,MAX(2*H24-K24,0),0))</f>
        <v/>
      </c>
      <c r="O24" s="17">
        <f>IF(OR(A24="",F24=0,F24=""),"",(F24-E24)/F24)</f>
        <v/>
      </c>
    </row>
    <row r="25">
      <c r="A25" s="14" t="n"/>
      <c r="B25" s="14" t="n"/>
      <c r="C25" s="14" t="n"/>
      <c r="D25" s="14" t="n"/>
      <c r="E25" s="15" t="n"/>
      <c r="F25" s="15" t="n"/>
      <c r="G25" s="16" t="n"/>
      <c r="H25" s="16" t="n"/>
      <c r="I25" s="16">
        <f>IF(A25="","",SUMIFS('Movimentações'!$E$5:$E$5000,'Movimentações'!$B$5:$B$5000,A25,'Movimentações'!$D$5:$D$5000,"Entrada"))</f>
        <v/>
      </c>
      <c r="J25" s="16">
        <f>IF(A25="","",SUMIFS('Movimentações'!$E$5:$E$5000,'Movimentações'!$B$5:$B$5000,A25,'Movimentações'!$D$5:$D$5000,"Saída"))</f>
        <v/>
      </c>
      <c r="K25" s="16">
        <f>IF(A25="","",G25+I25-J25)</f>
        <v/>
      </c>
      <c r="L25" s="14">
        <f>IF(A25="","",IF(K25&lt;=0,"SEM ESTOQUE",IF(K25&lt;=H25,"REPOR","OK")))</f>
        <v/>
      </c>
      <c r="M25" s="15">
        <f>IF(A25="","",MAX(K25,0)*E25)</f>
        <v/>
      </c>
      <c r="N25" s="16">
        <f>IF(A25="","",IF(K25&lt;=H25,MAX(2*H25-K25,0),0))</f>
        <v/>
      </c>
      <c r="O25" s="17">
        <f>IF(OR(A25="",F25=0,F25=""),"",(F25-E25)/F25)</f>
        <v/>
      </c>
    </row>
    <row r="26">
      <c r="A26" s="14" t="n"/>
      <c r="B26" s="14" t="n"/>
      <c r="C26" s="14" t="n"/>
      <c r="D26" s="14" t="n"/>
      <c r="E26" s="15" t="n"/>
      <c r="F26" s="15" t="n"/>
      <c r="G26" s="16" t="n"/>
      <c r="H26" s="16" t="n"/>
      <c r="I26" s="16">
        <f>IF(A26="","",SUMIFS('Movimentações'!$E$5:$E$5000,'Movimentações'!$B$5:$B$5000,A26,'Movimentações'!$D$5:$D$5000,"Entrada"))</f>
        <v/>
      </c>
      <c r="J26" s="16">
        <f>IF(A26="","",SUMIFS('Movimentações'!$E$5:$E$5000,'Movimentações'!$B$5:$B$5000,A26,'Movimentações'!$D$5:$D$5000,"Saída"))</f>
        <v/>
      </c>
      <c r="K26" s="16">
        <f>IF(A26="","",G26+I26-J26)</f>
        <v/>
      </c>
      <c r="L26" s="14">
        <f>IF(A26="","",IF(K26&lt;=0,"SEM ESTOQUE",IF(K26&lt;=H26,"REPOR","OK")))</f>
        <v/>
      </c>
      <c r="M26" s="15">
        <f>IF(A26="","",MAX(K26,0)*E26)</f>
        <v/>
      </c>
      <c r="N26" s="16">
        <f>IF(A26="","",IF(K26&lt;=H26,MAX(2*H26-K26,0),0))</f>
        <v/>
      </c>
      <c r="O26" s="17">
        <f>IF(OR(A26="",F26=0,F26=""),"",(F26-E26)/F26)</f>
        <v/>
      </c>
    </row>
    <row r="27">
      <c r="A27" s="14" t="n"/>
      <c r="B27" s="14" t="n"/>
      <c r="C27" s="14" t="n"/>
      <c r="D27" s="14" t="n"/>
      <c r="E27" s="15" t="n"/>
      <c r="F27" s="15" t="n"/>
      <c r="G27" s="16" t="n"/>
      <c r="H27" s="16" t="n"/>
      <c r="I27" s="16">
        <f>IF(A27="","",SUMIFS('Movimentações'!$E$5:$E$5000,'Movimentações'!$B$5:$B$5000,A27,'Movimentações'!$D$5:$D$5000,"Entrada"))</f>
        <v/>
      </c>
      <c r="J27" s="16">
        <f>IF(A27="","",SUMIFS('Movimentações'!$E$5:$E$5000,'Movimentações'!$B$5:$B$5000,A27,'Movimentações'!$D$5:$D$5000,"Saída"))</f>
        <v/>
      </c>
      <c r="K27" s="16">
        <f>IF(A27="","",G27+I27-J27)</f>
        <v/>
      </c>
      <c r="L27" s="14">
        <f>IF(A27="","",IF(K27&lt;=0,"SEM ESTOQUE",IF(K27&lt;=H27,"REPOR","OK")))</f>
        <v/>
      </c>
      <c r="M27" s="15">
        <f>IF(A27="","",MAX(K27,0)*E27)</f>
        <v/>
      </c>
      <c r="N27" s="16">
        <f>IF(A27="","",IF(K27&lt;=H27,MAX(2*H27-K27,0),0))</f>
        <v/>
      </c>
      <c r="O27" s="17">
        <f>IF(OR(A27="",F27=0,F27=""),"",(F27-E27)/F27)</f>
        <v/>
      </c>
    </row>
    <row r="28">
      <c r="A28" s="14" t="n"/>
      <c r="B28" s="14" t="n"/>
      <c r="C28" s="14" t="n"/>
      <c r="D28" s="14" t="n"/>
      <c r="E28" s="15" t="n"/>
      <c r="F28" s="15" t="n"/>
      <c r="G28" s="16" t="n"/>
      <c r="H28" s="16" t="n"/>
      <c r="I28" s="16">
        <f>IF(A28="","",SUMIFS('Movimentações'!$E$5:$E$5000,'Movimentações'!$B$5:$B$5000,A28,'Movimentações'!$D$5:$D$5000,"Entrada"))</f>
        <v/>
      </c>
      <c r="J28" s="16">
        <f>IF(A28="","",SUMIFS('Movimentações'!$E$5:$E$5000,'Movimentações'!$B$5:$B$5000,A28,'Movimentações'!$D$5:$D$5000,"Saída"))</f>
        <v/>
      </c>
      <c r="K28" s="16">
        <f>IF(A28="","",G28+I28-J28)</f>
        <v/>
      </c>
      <c r="L28" s="14">
        <f>IF(A28="","",IF(K28&lt;=0,"SEM ESTOQUE",IF(K28&lt;=H28,"REPOR","OK")))</f>
        <v/>
      </c>
      <c r="M28" s="15">
        <f>IF(A28="","",MAX(K28,0)*E28)</f>
        <v/>
      </c>
      <c r="N28" s="16">
        <f>IF(A28="","",IF(K28&lt;=H28,MAX(2*H28-K28,0),0))</f>
        <v/>
      </c>
      <c r="O28" s="17">
        <f>IF(OR(A28="",F28=0,F28=""),"",(F28-E28)/F28)</f>
        <v/>
      </c>
    </row>
    <row r="29">
      <c r="A29" s="14" t="n"/>
      <c r="B29" s="14" t="n"/>
      <c r="C29" s="14" t="n"/>
      <c r="D29" s="14" t="n"/>
      <c r="E29" s="15" t="n"/>
      <c r="F29" s="15" t="n"/>
      <c r="G29" s="16" t="n"/>
      <c r="H29" s="16" t="n"/>
      <c r="I29" s="16">
        <f>IF(A29="","",SUMIFS('Movimentações'!$E$5:$E$5000,'Movimentações'!$B$5:$B$5000,A29,'Movimentações'!$D$5:$D$5000,"Entrada"))</f>
        <v/>
      </c>
      <c r="J29" s="16">
        <f>IF(A29="","",SUMIFS('Movimentações'!$E$5:$E$5000,'Movimentações'!$B$5:$B$5000,A29,'Movimentações'!$D$5:$D$5000,"Saída"))</f>
        <v/>
      </c>
      <c r="K29" s="16">
        <f>IF(A29="","",G29+I29-J29)</f>
        <v/>
      </c>
      <c r="L29" s="14">
        <f>IF(A29="","",IF(K29&lt;=0,"SEM ESTOQUE",IF(K29&lt;=H29,"REPOR","OK")))</f>
        <v/>
      </c>
      <c r="M29" s="15">
        <f>IF(A29="","",MAX(K29,0)*E29)</f>
        <v/>
      </c>
      <c r="N29" s="16">
        <f>IF(A29="","",IF(K29&lt;=H29,MAX(2*H29-K29,0),0))</f>
        <v/>
      </c>
      <c r="O29" s="17">
        <f>IF(OR(A29="",F29=0,F29=""),"",(F29-E29)/F29)</f>
        <v/>
      </c>
    </row>
    <row r="30">
      <c r="A30" s="14" t="n"/>
      <c r="B30" s="14" t="n"/>
      <c r="C30" s="14" t="n"/>
      <c r="D30" s="14" t="n"/>
      <c r="E30" s="15" t="n"/>
      <c r="F30" s="15" t="n"/>
      <c r="G30" s="16" t="n"/>
      <c r="H30" s="16" t="n"/>
      <c r="I30" s="16">
        <f>IF(A30="","",SUMIFS('Movimentações'!$E$5:$E$5000,'Movimentações'!$B$5:$B$5000,A30,'Movimentações'!$D$5:$D$5000,"Entrada"))</f>
        <v/>
      </c>
      <c r="J30" s="16">
        <f>IF(A30="","",SUMIFS('Movimentações'!$E$5:$E$5000,'Movimentações'!$B$5:$B$5000,A30,'Movimentações'!$D$5:$D$5000,"Saída"))</f>
        <v/>
      </c>
      <c r="K30" s="16">
        <f>IF(A30="","",G30+I30-J30)</f>
        <v/>
      </c>
      <c r="L30" s="14">
        <f>IF(A30="","",IF(K30&lt;=0,"SEM ESTOQUE",IF(K30&lt;=H30,"REPOR","OK")))</f>
        <v/>
      </c>
      <c r="M30" s="15">
        <f>IF(A30="","",MAX(K30,0)*E30)</f>
        <v/>
      </c>
      <c r="N30" s="16">
        <f>IF(A30="","",IF(K30&lt;=H30,MAX(2*H30-K30,0),0))</f>
        <v/>
      </c>
      <c r="O30" s="17">
        <f>IF(OR(A30="",F30=0,F30=""),"",(F30-E30)/F30)</f>
        <v/>
      </c>
    </row>
    <row r="31">
      <c r="A31" s="14" t="n"/>
      <c r="B31" s="14" t="n"/>
      <c r="C31" s="14" t="n"/>
      <c r="D31" s="14" t="n"/>
      <c r="E31" s="15" t="n"/>
      <c r="F31" s="15" t="n"/>
      <c r="G31" s="16" t="n"/>
      <c r="H31" s="16" t="n"/>
      <c r="I31" s="16">
        <f>IF(A31="","",SUMIFS('Movimentações'!$E$5:$E$5000,'Movimentações'!$B$5:$B$5000,A31,'Movimentações'!$D$5:$D$5000,"Entrada"))</f>
        <v/>
      </c>
      <c r="J31" s="16">
        <f>IF(A31="","",SUMIFS('Movimentações'!$E$5:$E$5000,'Movimentações'!$B$5:$B$5000,A31,'Movimentações'!$D$5:$D$5000,"Saída"))</f>
        <v/>
      </c>
      <c r="K31" s="16">
        <f>IF(A31="","",G31+I31-J31)</f>
        <v/>
      </c>
      <c r="L31" s="14">
        <f>IF(A31="","",IF(K31&lt;=0,"SEM ESTOQUE",IF(K31&lt;=H31,"REPOR","OK")))</f>
        <v/>
      </c>
      <c r="M31" s="15">
        <f>IF(A31="","",MAX(K31,0)*E31)</f>
        <v/>
      </c>
      <c r="N31" s="16">
        <f>IF(A31="","",IF(K31&lt;=H31,MAX(2*H31-K31,0),0))</f>
        <v/>
      </c>
      <c r="O31" s="17">
        <f>IF(OR(A31="",F31=0,F31=""),"",(F31-E31)/F31)</f>
        <v/>
      </c>
    </row>
    <row r="32">
      <c r="A32" s="14" t="n"/>
      <c r="B32" s="14" t="n"/>
      <c r="C32" s="14" t="n"/>
      <c r="D32" s="14" t="n"/>
      <c r="E32" s="15" t="n"/>
      <c r="F32" s="15" t="n"/>
      <c r="G32" s="16" t="n"/>
      <c r="H32" s="16" t="n"/>
      <c r="I32" s="16">
        <f>IF(A32="","",SUMIFS('Movimentações'!$E$5:$E$5000,'Movimentações'!$B$5:$B$5000,A32,'Movimentações'!$D$5:$D$5000,"Entrada"))</f>
        <v/>
      </c>
      <c r="J32" s="16">
        <f>IF(A32="","",SUMIFS('Movimentações'!$E$5:$E$5000,'Movimentações'!$B$5:$B$5000,A32,'Movimentações'!$D$5:$D$5000,"Saída"))</f>
        <v/>
      </c>
      <c r="K32" s="16">
        <f>IF(A32="","",G32+I32-J32)</f>
        <v/>
      </c>
      <c r="L32" s="14">
        <f>IF(A32="","",IF(K32&lt;=0,"SEM ESTOQUE",IF(K32&lt;=H32,"REPOR","OK")))</f>
        <v/>
      </c>
      <c r="M32" s="15">
        <f>IF(A32="","",MAX(K32,0)*E32)</f>
        <v/>
      </c>
      <c r="N32" s="16">
        <f>IF(A32="","",IF(K32&lt;=H32,MAX(2*H32-K32,0),0))</f>
        <v/>
      </c>
      <c r="O32" s="17">
        <f>IF(OR(A32="",F32=0,F32=""),"",(F32-E32)/F32)</f>
        <v/>
      </c>
    </row>
    <row r="33">
      <c r="A33" s="14" t="n"/>
      <c r="B33" s="14" t="n"/>
      <c r="C33" s="14" t="n"/>
      <c r="D33" s="14" t="n"/>
      <c r="E33" s="15" t="n"/>
      <c r="F33" s="15" t="n"/>
      <c r="G33" s="16" t="n"/>
      <c r="H33" s="16" t="n"/>
      <c r="I33" s="16">
        <f>IF(A33="","",SUMIFS('Movimentações'!$E$5:$E$5000,'Movimentações'!$B$5:$B$5000,A33,'Movimentações'!$D$5:$D$5000,"Entrada"))</f>
        <v/>
      </c>
      <c r="J33" s="16">
        <f>IF(A33="","",SUMIFS('Movimentações'!$E$5:$E$5000,'Movimentações'!$B$5:$B$5000,A33,'Movimentações'!$D$5:$D$5000,"Saída"))</f>
        <v/>
      </c>
      <c r="K33" s="16">
        <f>IF(A33="","",G33+I33-J33)</f>
        <v/>
      </c>
      <c r="L33" s="14">
        <f>IF(A33="","",IF(K33&lt;=0,"SEM ESTOQUE",IF(K33&lt;=H33,"REPOR","OK")))</f>
        <v/>
      </c>
      <c r="M33" s="15">
        <f>IF(A33="","",MAX(K33,0)*E33)</f>
        <v/>
      </c>
      <c r="N33" s="16">
        <f>IF(A33="","",IF(K33&lt;=H33,MAX(2*H33-K33,0),0))</f>
        <v/>
      </c>
      <c r="O33" s="17">
        <f>IF(OR(A33="",F33=0,F33=""),"",(F33-E33)/F33)</f>
        <v/>
      </c>
    </row>
    <row r="34">
      <c r="A34" s="14" t="n"/>
      <c r="B34" s="14" t="n"/>
      <c r="C34" s="14" t="n"/>
      <c r="D34" s="14" t="n"/>
      <c r="E34" s="15" t="n"/>
      <c r="F34" s="15" t="n"/>
      <c r="G34" s="16" t="n"/>
      <c r="H34" s="16" t="n"/>
      <c r="I34" s="16">
        <f>IF(A34="","",SUMIFS('Movimentações'!$E$5:$E$5000,'Movimentações'!$B$5:$B$5000,A34,'Movimentações'!$D$5:$D$5000,"Entrada"))</f>
        <v/>
      </c>
      <c r="J34" s="16">
        <f>IF(A34="","",SUMIFS('Movimentações'!$E$5:$E$5000,'Movimentações'!$B$5:$B$5000,A34,'Movimentações'!$D$5:$D$5000,"Saída"))</f>
        <v/>
      </c>
      <c r="K34" s="16">
        <f>IF(A34="","",G34+I34-J34)</f>
        <v/>
      </c>
      <c r="L34" s="14">
        <f>IF(A34="","",IF(K34&lt;=0,"SEM ESTOQUE",IF(K34&lt;=H34,"REPOR","OK")))</f>
        <v/>
      </c>
      <c r="M34" s="15">
        <f>IF(A34="","",MAX(K34,0)*E34)</f>
        <v/>
      </c>
      <c r="N34" s="16">
        <f>IF(A34="","",IF(K34&lt;=H34,MAX(2*H34-K34,0),0))</f>
        <v/>
      </c>
      <c r="O34" s="17">
        <f>IF(OR(A34="",F34=0,F34=""),"",(F34-E34)/F34)</f>
        <v/>
      </c>
    </row>
    <row r="35">
      <c r="A35" s="14" t="n"/>
      <c r="B35" s="14" t="n"/>
      <c r="C35" s="14" t="n"/>
      <c r="D35" s="14" t="n"/>
      <c r="E35" s="15" t="n"/>
      <c r="F35" s="15" t="n"/>
      <c r="G35" s="16" t="n"/>
      <c r="H35" s="16" t="n"/>
      <c r="I35" s="16">
        <f>IF(A35="","",SUMIFS('Movimentações'!$E$5:$E$5000,'Movimentações'!$B$5:$B$5000,A35,'Movimentações'!$D$5:$D$5000,"Entrada"))</f>
        <v/>
      </c>
      <c r="J35" s="16">
        <f>IF(A35="","",SUMIFS('Movimentações'!$E$5:$E$5000,'Movimentações'!$B$5:$B$5000,A35,'Movimentações'!$D$5:$D$5000,"Saída"))</f>
        <v/>
      </c>
      <c r="K35" s="16">
        <f>IF(A35="","",G35+I35-J35)</f>
        <v/>
      </c>
      <c r="L35" s="14">
        <f>IF(A35="","",IF(K35&lt;=0,"SEM ESTOQUE",IF(K35&lt;=H35,"REPOR","OK")))</f>
        <v/>
      </c>
      <c r="M35" s="15">
        <f>IF(A35="","",MAX(K35,0)*E35)</f>
        <v/>
      </c>
      <c r="N35" s="16">
        <f>IF(A35="","",IF(K35&lt;=H35,MAX(2*H35-K35,0),0))</f>
        <v/>
      </c>
      <c r="O35" s="17">
        <f>IF(OR(A35="",F35=0,F35=""),"",(F35-E35)/F35)</f>
        <v/>
      </c>
    </row>
    <row r="36">
      <c r="A36" s="14" t="n"/>
      <c r="B36" s="14" t="n"/>
      <c r="C36" s="14" t="n"/>
      <c r="D36" s="14" t="n"/>
      <c r="E36" s="15" t="n"/>
      <c r="F36" s="15" t="n"/>
      <c r="G36" s="16" t="n"/>
      <c r="H36" s="16" t="n"/>
      <c r="I36" s="16">
        <f>IF(A36="","",SUMIFS('Movimentações'!$E$5:$E$5000,'Movimentações'!$B$5:$B$5000,A36,'Movimentações'!$D$5:$D$5000,"Entrada"))</f>
        <v/>
      </c>
      <c r="J36" s="16">
        <f>IF(A36="","",SUMIFS('Movimentações'!$E$5:$E$5000,'Movimentações'!$B$5:$B$5000,A36,'Movimentações'!$D$5:$D$5000,"Saída"))</f>
        <v/>
      </c>
      <c r="K36" s="16">
        <f>IF(A36="","",G36+I36-J36)</f>
        <v/>
      </c>
      <c r="L36" s="14">
        <f>IF(A36="","",IF(K36&lt;=0,"SEM ESTOQUE",IF(K36&lt;=H36,"REPOR","OK")))</f>
        <v/>
      </c>
      <c r="M36" s="15">
        <f>IF(A36="","",MAX(K36,0)*E36)</f>
        <v/>
      </c>
      <c r="N36" s="16">
        <f>IF(A36="","",IF(K36&lt;=H36,MAX(2*H36-K36,0),0))</f>
        <v/>
      </c>
      <c r="O36" s="17">
        <f>IF(OR(A36="",F36=0,F36=""),"",(F36-E36)/F36)</f>
        <v/>
      </c>
    </row>
    <row r="37">
      <c r="A37" s="14" t="n"/>
      <c r="B37" s="14" t="n"/>
      <c r="C37" s="14" t="n"/>
      <c r="D37" s="14" t="n"/>
      <c r="E37" s="15" t="n"/>
      <c r="F37" s="15" t="n"/>
      <c r="G37" s="16" t="n"/>
      <c r="H37" s="16" t="n"/>
      <c r="I37" s="16">
        <f>IF(A37="","",SUMIFS('Movimentações'!$E$5:$E$5000,'Movimentações'!$B$5:$B$5000,A37,'Movimentações'!$D$5:$D$5000,"Entrada"))</f>
        <v/>
      </c>
      <c r="J37" s="16">
        <f>IF(A37="","",SUMIFS('Movimentações'!$E$5:$E$5000,'Movimentações'!$B$5:$B$5000,A37,'Movimentações'!$D$5:$D$5000,"Saída"))</f>
        <v/>
      </c>
      <c r="K37" s="16">
        <f>IF(A37="","",G37+I37-J37)</f>
        <v/>
      </c>
      <c r="L37" s="14">
        <f>IF(A37="","",IF(K37&lt;=0,"SEM ESTOQUE",IF(K37&lt;=H37,"REPOR","OK")))</f>
        <v/>
      </c>
      <c r="M37" s="15">
        <f>IF(A37="","",MAX(K37,0)*E37)</f>
        <v/>
      </c>
      <c r="N37" s="16">
        <f>IF(A37="","",IF(K37&lt;=H37,MAX(2*H37-K37,0),0))</f>
        <v/>
      </c>
      <c r="O37" s="17">
        <f>IF(OR(A37="",F37=0,F37=""),"",(F37-E37)/F37)</f>
        <v/>
      </c>
    </row>
    <row r="38">
      <c r="A38" s="14" t="n"/>
      <c r="B38" s="14" t="n"/>
      <c r="C38" s="14" t="n"/>
      <c r="D38" s="14" t="n"/>
      <c r="E38" s="15" t="n"/>
      <c r="F38" s="15" t="n"/>
      <c r="G38" s="16" t="n"/>
      <c r="H38" s="16" t="n"/>
      <c r="I38" s="16">
        <f>IF(A38="","",SUMIFS('Movimentações'!$E$5:$E$5000,'Movimentações'!$B$5:$B$5000,A38,'Movimentações'!$D$5:$D$5000,"Entrada"))</f>
        <v/>
      </c>
      <c r="J38" s="16">
        <f>IF(A38="","",SUMIFS('Movimentações'!$E$5:$E$5000,'Movimentações'!$B$5:$B$5000,A38,'Movimentações'!$D$5:$D$5000,"Saída"))</f>
        <v/>
      </c>
      <c r="K38" s="16">
        <f>IF(A38="","",G38+I38-J38)</f>
        <v/>
      </c>
      <c r="L38" s="14">
        <f>IF(A38="","",IF(K38&lt;=0,"SEM ESTOQUE",IF(K38&lt;=H38,"REPOR","OK")))</f>
        <v/>
      </c>
      <c r="M38" s="15">
        <f>IF(A38="","",MAX(K38,0)*E38)</f>
        <v/>
      </c>
      <c r="N38" s="16">
        <f>IF(A38="","",IF(K38&lt;=H38,MAX(2*H38-K38,0),0))</f>
        <v/>
      </c>
      <c r="O38" s="17">
        <f>IF(OR(A38="",F38=0,F38=""),"",(F38-E38)/F38)</f>
        <v/>
      </c>
    </row>
    <row r="39">
      <c r="A39" s="14" t="n"/>
      <c r="B39" s="14" t="n"/>
      <c r="C39" s="14" t="n"/>
      <c r="D39" s="14" t="n"/>
      <c r="E39" s="15" t="n"/>
      <c r="F39" s="15" t="n"/>
      <c r="G39" s="16" t="n"/>
      <c r="H39" s="16" t="n"/>
      <c r="I39" s="16">
        <f>IF(A39="","",SUMIFS('Movimentações'!$E$5:$E$5000,'Movimentações'!$B$5:$B$5000,A39,'Movimentações'!$D$5:$D$5000,"Entrada"))</f>
        <v/>
      </c>
      <c r="J39" s="16">
        <f>IF(A39="","",SUMIFS('Movimentações'!$E$5:$E$5000,'Movimentações'!$B$5:$B$5000,A39,'Movimentações'!$D$5:$D$5000,"Saída"))</f>
        <v/>
      </c>
      <c r="K39" s="16">
        <f>IF(A39="","",G39+I39-J39)</f>
        <v/>
      </c>
      <c r="L39" s="14">
        <f>IF(A39="","",IF(K39&lt;=0,"SEM ESTOQUE",IF(K39&lt;=H39,"REPOR","OK")))</f>
        <v/>
      </c>
      <c r="M39" s="15">
        <f>IF(A39="","",MAX(K39,0)*E39)</f>
        <v/>
      </c>
      <c r="N39" s="16">
        <f>IF(A39="","",IF(K39&lt;=H39,MAX(2*H39-K39,0),0))</f>
        <v/>
      </c>
      <c r="O39" s="17">
        <f>IF(OR(A39="",F39=0,F39=""),"",(F39-E39)/F39)</f>
        <v/>
      </c>
    </row>
    <row r="40">
      <c r="A40" s="14" t="n"/>
      <c r="B40" s="14" t="n"/>
      <c r="C40" s="14" t="n"/>
      <c r="D40" s="14" t="n"/>
      <c r="E40" s="15" t="n"/>
      <c r="F40" s="15" t="n"/>
      <c r="G40" s="16" t="n"/>
      <c r="H40" s="16" t="n"/>
      <c r="I40" s="16">
        <f>IF(A40="","",SUMIFS('Movimentações'!$E$5:$E$5000,'Movimentações'!$B$5:$B$5000,A40,'Movimentações'!$D$5:$D$5000,"Entrada"))</f>
        <v/>
      </c>
      <c r="J40" s="16">
        <f>IF(A40="","",SUMIFS('Movimentações'!$E$5:$E$5000,'Movimentações'!$B$5:$B$5000,A40,'Movimentações'!$D$5:$D$5000,"Saída"))</f>
        <v/>
      </c>
      <c r="K40" s="16">
        <f>IF(A40="","",G40+I40-J40)</f>
        <v/>
      </c>
      <c r="L40" s="14">
        <f>IF(A40="","",IF(K40&lt;=0,"SEM ESTOQUE",IF(K40&lt;=H40,"REPOR","OK")))</f>
        <v/>
      </c>
      <c r="M40" s="15">
        <f>IF(A40="","",MAX(K40,0)*E40)</f>
        <v/>
      </c>
      <c r="N40" s="16">
        <f>IF(A40="","",IF(K40&lt;=H40,MAX(2*H40-K40,0),0))</f>
        <v/>
      </c>
      <c r="O40" s="17">
        <f>IF(OR(A40="",F40=0,F40=""),"",(F40-E40)/F40)</f>
        <v/>
      </c>
    </row>
    <row r="41">
      <c r="A41" s="14" t="n"/>
      <c r="B41" s="14" t="n"/>
      <c r="C41" s="14" t="n"/>
      <c r="D41" s="14" t="n"/>
      <c r="E41" s="15" t="n"/>
      <c r="F41" s="15" t="n"/>
      <c r="G41" s="16" t="n"/>
      <c r="H41" s="16" t="n"/>
      <c r="I41" s="16">
        <f>IF(A41="","",SUMIFS('Movimentações'!$E$5:$E$5000,'Movimentações'!$B$5:$B$5000,A41,'Movimentações'!$D$5:$D$5000,"Entrada"))</f>
        <v/>
      </c>
      <c r="J41" s="16">
        <f>IF(A41="","",SUMIFS('Movimentações'!$E$5:$E$5000,'Movimentações'!$B$5:$B$5000,A41,'Movimentações'!$D$5:$D$5000,"Saída"))</f>
        <v/>
      </c>
      <c r="K41" s="16">
        <f>IF(A41="","",G41+I41-J41)</f>
        <v/>
      </c>
      <c r="L41" s="14">
        <f>IF(A41="","",IF(K41&lt;=0,"SEM ESTOQUE",IF(K41&lt;=H41,"REPOR","OK")))</f>
        <v/>
      </c>
      <c r="M41" s="15">
        <f>IF(A41="","",MAX(K41,0)*E41)</f>
        <v/>
      </c>
      <c r="N41" s="16">
        <f>IF(A41="","",IF(K41&lt;=H41,MAX(2*H41-K41,0),0))</f>
        <v/>
      </c>
      <c r="O41" s="17">
        <f>IF(OR(A41="",F41=0,F41=""),"",(F41-E41)/F41)</f>
        <v/>
      </c>
    </row>
    <row r="42">
      <c r="A42" s="14" t="n"/>
      <c r="B42" s="14" t="n"/>
      <c r="C42" s="14" t="n"/>
      <c r="D42" s="14" t="n"/>
      <c r="E42" s="15" t="n"/>
      <c r="F42" s="15" t="n"/>
      <c r="G42" s="16" t="n"/>
      <c r="H42" s="16" t="n"/>
      <c r="I42" s="16">
        <f>IF(A42="","",SUMIFS('Movimentações'!$E$5:$E$5000,'Movimentações'!$B$5:$B$5000,A42,'Movimentações'!$D$5:$D$5000,"Entrada"))</f>
        <v/>
      </c>
      <c r="J42" s="16">
        <f>IF(A42="","",SUMIFS('Movimentações'!$E$5:$E$5000,'Movimentações'!$B$5:$B$5000,A42,'Movimentações'!$D$5:$D$5000,"Saída"))</f>
        <v/>
      </c>
      <c r="K42" s="16">
        <f>IF(A42="","",G42+I42-J42)</f>
        <v/>
      </c>
      <c r="L42" s="14">
        <f>IF(A42="","",IF(K42&lt;=0,"SEM ESTOQUE",IF(K42&lt;=H42,"REPOR","OK")))</f>
        <v/>
      </c>
      <c r="M42" s="15">
        <f>IF(A42="","",MAX(K42,0)*E42)</f>
        <v/>
      </c>
      <c r="N42" s="16">
        <f>IF(A42="","",IF(K42&lt;=H42,MAX(2*H42-K42,0),0))</f>
        <v/>
      </c>
      <c r="O42" s="17">
        <f>IF(OR(A42="",F42=0,F42=""),"",(F42-E42)/F42)</f>
        <v/>
      </c>
    </row>
    <row r="43">
      <c r="A43" s="14" t="n"/>
      <c r="B43" s="14" t="n"/>
      <c r="C43" s="14" t="n"/>
      <c r="D43" s="14" t="n"/>
      <c r="E43" s="15" t="n"/>
      <c r="F43" s="15" t="n"/>
      <c r="G43" s="16" t="n"/>
      <c r="H43" s="16" t="n"/>
      <c r="I43" s="16">
        <f>IF(A43="","",SUMIFS('Movimentações'!$E$5:$E$5000,'Movimentações'!$B$5:$B$5000,A43,'Movimentações'!$D$5:$D$5000,"Entrada"))</f>
        <v/>
      </c>
      <c r="J43" s="16">
        <f>IF(A43="","",SUMIFS('Movimentações'!$E$5:$E$5000,'Movimentações'!$B$5:$B$5000,A43,'Movimentações'!$D$5:$D$5000,"Saída"))</f>
        <v/>
      </c>
      <c r="K43" s="16">
        <f>IF(A43="","",G43+I43-J43)</f>
        <v/>
      </c>
      <c r="L43" s="14">
        <f>IF(A43="","",IF(K43&lt;=0,"SEM ESTOQUE",IF(K43&lt;=H43,"REPOR","OK")))</f>
        <v/>
      </c>
      <c r="M43" s="15">
        <f>IF(A43="","",MAX(K43,0)*E43)</f>
        <v/>
      </c>
      <c r="N43" s="16">
        <f>IF(A43="","",IF(K43&lt;=H43,MAX(2*H43-K43,0),0))</f>
        <v/>
      </c>
      <c r="O43" s="17">
        <f>IF(OR(A43="",F43=0,F43=""),"",(F43-E43)/F43)</f>
        <v/>
      </c>
    </row>
    <row r="44">
      <c r="A44" s="14" t="n"/>
      <c r="B44" s="14" t="n"/>
      <c r="C44" s="14" t="n"/>
      <c r="D44" s="14" t="n"/>
      <c r="E44" s="15" t="n"/>
      <c r="F44" s="15" t="n"/>
      <c r="G44" s="16" t="n"/>
      <c r="H44" s="16" t="n"/>
      <c r="I44" s="16">
        <f>IF(A44="","",SUMIFS('Movimentações'!$E$5:$E$5000,'Movimentações'!$B$5:$B$5000,A44,'Movimentações'!$D$5:$D$5000,"Entrada"))</f>
        <v/>
      </c>
      <c r="J44" s="16">
        <f>IF(A44="","",SUMIFS('Movimentações'!$E$5:$E$5000,'Movimentações'!$B$5:$B$5000,A44,'Movimentações'!$D$5:$D$5000,"Saída"))</f>
        <v/>
      </c>
      <c r="K44" s="16">
        <f>IF(A44="","",G44+I44-J44)</f>
        <v/>
      </c>
      <c r="L44" s="14">
        <f>IF(A44="","",IF(K44&lt;=0,"SEM ESTOQUE",IF(K44&lt;=H44,"REPOR","OK")))</f>
        <v/>
      </c>
      <c r="M44" s="15">
        <f>IF(A44="","",MAX(K44,0)*E44)</f>
        <v/>
      </c>
      <c r="N44" s="16">
        <f>IF(A44="","",IF(K44&lt;=H44,MAX(2*H44-K44,0),0))</f>
        <v/>
      </c>
      <c r="O44" s="17">
        <f>IF(OR(A44="",F44=0,F44=""),"",(F44-E44)/F44)</f>
        <v/>
      </c>
    </row>
    <row r="45">
      <c r="A45" s="14" t="n"/>
      <c r="B45" s="14" t="n"/>
      <c r="C45" s="14" t="n"/>
      <c r="D45" s="14" t="n"/>
      <c r="E45" s="15" t="n"/>
      <c r="F45" s="15" t="n"/>
      <c r="G45" s="16" t="n"/>
      <c r="H45" s="16" t="n"/>
      <c r="I45" s="16">
        <f>IF(A45="","",SUMIFS('Movimentações'!$E$5:$E$5000,'Movimentações'!$B$5:$B$5000,A45,'Movimentações'!$D$5:$D$5000,"Entrada"))</f>
        <v/>
      </c>
      <c r="J45" s="16">
        <f>IF(A45="","",SUMIFS('Movimentações'!$E$5:$E$5000,'Movimentações'!$B$5:$B$5000,A45,'Movimentações'!$D$5:$D$5000,"Saída"))</f>
        <v/>
      </c>
      <c r="K45" s="16">
        <f>IF(A45="","",G45+I45-J45)</f>
        <v/>
      </c>
      <c r="L45" s="14">
        <f>IF(A45="","",IF(K45&lt;=0,"SEM ESTOQUE",IF(K45&lt;=H45,"REPOR","OK")))</f>
        <v/>
      </c>
      <c r="M45" s="15">
        <f>IF(A45="","",MAX(K45,0)*E45)</f>
        <v/>
      </c>
      <c r="N45" s="16">
        <f>IF(A45="","",IF(K45&lt;=H45,MAX(2*H45-K45,0),0))</f>
        <v/>
      </c>
      <c r="O45" s="17">
        <f>IF(OR(A45="",F45=0,F45=""),"",(F45-E45)/F45)</f>
        <v/>
      </c>
    </row>
    <row r="46">
      <c r="A46" s="14" t="n"/>
      <c r="B46" s="14" t="n"/>
      <c r="C46" s="14" t="n"/>
      <c r="D46" s="14" t="n"/>
      <c r="E46" s="15" t="n"/>
      <c r="F46" s="15" t="n"/>
      <c r="G46" s="16" t="n"/>
      <c r="H46" s="16" t="n"/>
      <c r="I46" s="16">
        <f>IF(A46="","",SUMIFS('Movimentações'!$E$5:$E$5000,'Movimentações'!$B$5:$B$5000,A46,'Movimentações'!$D$5:$D$5000,"Entrada"))</f>
        <v/>
      </c>
      <c r="J46" s="16">
        <f>IF(A46="","",SUMIFS('Movimentações'!$E$5:$E$5000,'Movimentações'!$B$5:$B$5000,A46,'Movimentações'!$D$5:$D$5000,"Saída"))</f>
        <v/>
      </c>
      <c r="K46" s="16">
        <f>IF(A46="","",G46+I46-J46)</f>
        <v/>
      </c>
      <c r="L46" s="14">
        <f>IF(A46="","",IF(K46&lt;=0,"SEM ESTOQUE",IF(K46&lt;=H46,"REPOR","OK")))</f>
        <v/>
      </c>
      <c r="M46" s="15">
        <f>IF(A46="","",MAX(K46,0)*E46)</f>
        <v/>
      </c>
      <c r="N46" s="16">
        <f>IF(A46="","",IF(K46&lt;=H46,MAX(2*H46-K46,0),0))</f>
        <v/>
      </c>
      <c r="O46" s="17">
        <f>IF(OR(A46="",F46=0,F46=""),"",(F46-E46)/F46)</f>
        <v/>
      </c>
    </row>
    <row r="47">
      <c r="A47" s="14" t="n"/>
      <c r="B47" s="14" t="n"/>
      <c r="C47" s="14" t="n"/>
      <c r="D47" s="14" t="n"/>
      <c r="E47" s="15" t="n"/>
      <c r="F47" s="15" t="n"/>
      <c r="G47" s="16" t="n"/>
      <c r="H47" s="16" t="n"/>
      <c r="I47" s="16">
        <f>IF(A47="","",SUMIFS('Movimentações'!$E$5:$E$5000,'Movimentações'!$B$5:$B$5000,A47,'Movimentações'!$D$5:$D$5000,"Entrada"))</f>
        <v/>
      </c>
      <c r="J47" s="16">
        <f>IF(A47="","",SUMIFS('Movimentações'!$E$5:$E$5000,'Movimentações'!$B$5:$B$5000,A47,'Movimentações'!$D$5:$D$5000,"Saída"))</f>
        <v/>
      </c>
      <c r="K47" s="16">
        <f>IF(A47="","",G47+I47-J47)</f>
        <v/>
      </c>
      <c r="L47" s="14">
        <f>IF(A47="","",IF(K47&lt;=0,"SEM ESTOQUE",IF(K47&lt;=H47,"REPOR","OK")))</f>
        <v/>
      </c>
      <c r="M47" s="15">
        <f>IF(A47="","",MAX(K47,0)*E47)</f>
        <v/>
      </c>
      <c r="N47" s="16">
        <f>IF(A47="","",IF(K47&lt;=H47,MAX(2*H47-K47,0),0))</f>
        <v/>
      </c>
      <c r="O47" s="17">
        <f>IF(OR(A47="",F47=0,F47=""),"",(F47-E47)/F47)</f>
        <v/>
      </c>
    </row>
    <row r="48">
      <c r="A48" s="14" t="n"/>
      <c r="B48" s="14" t="n"/>
      <c r="C48" s="14" t="n"/>
      <c r="D48" s="14" t="n"/>
      <c r="E48" s="15" t="n"/>
      <c r="F48" s="15" t="n"/>
      <c r="G48" s="16" t="n"/>
      <c r="H48" s="16" t="n"/>
      <c r="I48" s="16">
        <f>IF(A48="","",SUMIFS('Movimentações'!$E$5:$E$5000,'Movimentações'!$B$5:$B$5000,A48,'Movimentações'!$D$5:$D$5000,"Entrada"))</f>
        <v/>
      </c>
      <c r="J48" s="16">
        <f>IF(A48="","",SUMIFS('Movimentações'!$E$5:$E$5000,'Movimentações'!$B$5:$B$5000,A48,'Movimentações'!$D$5:$D$5000,"Saída"))</f>
        <v/>
      </c>
      <c r="K48" s="16">
        <f>IF(A48="","",G48+I48-J48)</f>
        <v/>
      </c>
      <c r="L48" s="14">
        <f>IF(A48="","",IF(K48&lt;=0,"SEM ESTOQUE",IF(K48&lt;=H48,"REPOR","OK")))</f>
        <v/>
      </c>
      <c r="M48" s="15">
        <f>IF(A48="","",MAX(K48,0)*E48)</f>
        <v/>
      </c>
      <c r="N48" s="16">
        <f>IF(A48="","",IF(K48&lt;=H48,MAX(2*H48-K48,0),0))</f>
        <v/>
      </c>
      <c r="O48" s="17">
        <f>IF(OR(A48="",F48=0,F48=""),"",(F48-E48)/F48)</f>
        <v/>
      </c>
    </row>
    <row r="49">
      <c r="A49" s="14" t="n"/>
      <c r="B49" s="14" t="n"/>
      <c r="C49" s="14" t="n"/>
      <c r="D49" s="14" t="n"/>
      <c r="E49" s="15" t="n"/>
      <c r="F49" s="15" t="n"/>
      <c r="G49" s="16" t="n"/>
      <c r="H49" s="16" t="n"/>
      <c r="I49" s="16">
        <f>IF(A49="","",SUMIFS('Movimentações'!$E$5:$E$5000,'Movimentações'!$B$5:$B$5000,A49,'Movimentações'!$D$5:$D$5000,"Entrada"))</f>
        <v/>
      </c>
      <c r="J49" s="16">
        <f>IF(A49="","",SUMIFS('Movimentações'!$E$5:$E$5000,'Movimentações'!$B$5:$B$5000,A49,'Movimentações'!$D$5:$D$5000,"Saída"))</f>
        <v/>
      </c>
      <c r="K49" s="16">
        <f>IF(A49="","",G49+I49-J49)</f>
        <v/>
      </c>
      <c r="L49" s="14">
        <f>IF(A49="","",IF(K49&lt;=0,"SEM ESTOQUE",IF(K49&lt;=H49,"REPOR","OK")))</f>
        <v/>
      </c>
      <c r="M49" s="15">
        <f>IF(A49="","",MAX(K49,0)*E49)</f>
        <v/>
      </c>
      <c r="N49" s="16">
        <f>IF(A49="","",IF(K49&lt;=H49,MAX(2*H49-K49,0),0))</f>
        <v/>
      </c>
      <c r="O49" s="17">
        <f>IF(OR(A49="",F49=0,F49=""),"",(F49-E49)/F49)</f>
        <v/>
      </c>
    </row>
    <row r="50">
      <c r="A50" s="14" t="n"/>
      <c r="B50" s="14" t="n"/>
      <c r="C50" s="14" t="n"/>
      <c r="D50" s="14" t="n"/>
      <c r="E50" s="15" t="n"/>
      <c r="F50" s="15" t="n"/>
      <c r="G50" s="16" t="n"/>
      <c r="H50" s="16" t="n"/>
      <c r="I50" s="16">
        <f>IF(A50="","",SUMIFS('Movimentações'!$E$5:$E$5000,'Movimentações'!$B$5:$B$5000,A50,'Movimentações'!$D$5:$D$5000,"Entrada"))</f>
        <v/>
      </c>
      <c r="J50" s="16">
        <f>IF(A50="","",SUMIFS('Movimentações'!$E$5:$E$5000,'Movimentações'!$B$5:$B$5000,A50,'Movimentações'!$D$5:$D$5000,"Saída"))</f>
        <v/>
      </c>
      <c r="K50" s="16">
        <f>IF(A50="","",G50+I50-J50)</f>
        <v/>
      </c>
      <c r="L50" s="14">
        <f>IF(A50="","",IF(K50&lt;=0,"SEM ESTOQUE",IF(K50&lt;=H50,"REPOR","OK")))</f>
        <v/>
      </c>
      <c r="M50" s="15">
        <f>IF(A50="","",MAX(K50,0)*E50)</f>
        <v/>
      </c>
      <c r="N50" s="16">
        <f>IF(A50="","",IF(K50&lt;=H50,MAX(2*H50-K50,0),0))</f>
        <v/>
      </c>
      <c r="O50" s="17">
        <f>IF(OR(A50="",F50=0,F50=""),"",(F50-E50)/F50)</f>
        <v/>
      </c>
    </row>
    <row r="51">
      <c r="A51" s="14" t="n"/>
      <c r="B51" s="14" t="n"/>
      <c r="C51" s="14" t="n"/>
      <c r="D51" s="14" t="n"/>
      <c r="E51" s="15" t="n"/>
      <c r="F51" s="15" t="n"/>
      <c r="G51" s="16" t="n"/>
      <c r="H51" s="16" t="n"/>
      <c r="I51" s="16">
        <f>IF(A51="","",SUMIFS('Movimentações'!$E$5:$E$5000,'Movimentações'!$B$5:$B$5000,A51,'Movimentações'!$D$5:$D$5000,"Entrada"))</f>
        <v/>
      </c>
      <c r="J51" s="16">
        <f>IF(A51="","",SUMIFS('Movimentações'!$E$5:$E$5000,'Movimentações'!$B$5:$B$5000,A51,'Movimentações'!$D$5:$D$5000,"Saída"))</f>
        <v/>
      </c>
      <c r="K51" s="16">
        <f>IF(A51="","",G51+I51-J51)</f>
        <v/>
      </c>
      <c r="L51" s="14">
        <f>IF(A51="","",IF(K51&lt;=0,"SEM ESTOQUE",IF(K51&lt;=H51,"REPOR","OK")))</f>
        <v/>
      </c>
      <c r="M51" s="15">
        <f>IF(A51="","",MAX(K51,0)*E51)</f>
        <v/>
      </c>
      <c r="N51" s="16">
        <f>IF(A51="","",IF(K51&lt;=H51,MAX(2*H51-K51,0),0))</f>
        <v/>
      </c>
      <c r="O51" s="17">
        <f>IF(OR(A51="",F51=0,F51=""),"",(F51-E51)/F51)</f>
        <v/>
      </c>
    </row>
    <row r="52">
      <c r="A52" s="14" t="n"/>
      <c r="B52" s="14" t="n"/>
      <c r="C52" s="14" t="n"/>
      <c r="D52" s="14" t="n"/>
      <c r="E52" s="15" t="n"/>
      <c r="F52" s="15" t="n"/>
      <c r="G52" s="16" t="n"/>
      <c r="H52" s="16" t="n"/>
      <c r="I52" s="16">
        <f>IF(A52="","",SUMIFS('Movimentações'!$E$5:$E$5000,'Movimentações'!$B$5:$B$5000,A52,'Movimentações'!$D$5:$D$5000,"Entrada"))</f>
        <v/>
      </c>
      <c r="J52" s="16">
        <f>IF(A52="","",SUMIFS('Movimentações'!$E$5:$E$5000,'Movimentações'!$B$5:$B$5000,A52,'Movimentações'!$D$5:$D$5000,"Saída"))</f>
        <v/>
      </c>
      <c r="K52" s="16">
        <f>IF(A52="","",G52+I52-J52)</f>
        <v/>
      </c>
      <c r="L52" s="14">
        <f>IF(A52="","",IF(K52&lt;=0,"SEM ESTOQUE",IF(K52&lt;=H52,"REPOR","OK")))</f>
        <v/>
      </c>
      <c r="M52" s="15">
        <f>IF(A52="","",MAX(K52,0)*E52)</f>
        <v/>
      </c>
      <c r="N52" s="16">
        <f>IF(A52="","",IF(K52&lt;=H52,MAX(2*H52-K52,0),0))</f>
        <v/>
      </c>
      <c r="O52" s="17">
        <f>IF(OR(A52="",F52=0,F52=""),"",(F52-E52)/F52)</f>
        <v/>
      </c>
    </row>
    <row r="53">
      <c r="A53" s="14" t="n"/>
      <c r="B53" s="14" t="n"/>
      <c r="C53" s="14" t="n"/>
      <c r="D53" s="14" t="n"/>
      <c r="E53" s="15" t="n"/>
      <c r="F53" s="15" t="n"/>
      <c r="G53" s="16" t="n"/>
      <c r="H53" s="16" t="n"/>
      <c r="I53" s="16">
        <f>IF(A53="","",SUMIFS('Movimentações'!$E$5:$E$5000,'Movimentações'!$B$5:$B$5000,A53,'Movimentações'!$D$5:$D$5000,"Entrada"))</f>
        <v/>
      </c>
      <c r="J53" s="16">
        <f>IF(A53="","",SUMIFS('Movimentações'!$E$5:$E$5000,'Movimentações'!$B$5:$B$5000,A53,'Movimentações'!$D$5:$D$5000,"Saída"))</f>
        <v/>
      </c>
      <c r="K53" s="16">
        <f>IF(A53="","",G53+I53-J53)</f>
        <v/>
      </c>
      <c r="L53" s="14">
        <f>IF(A53="","",IF(K53&lt;=0,"SEM ESTOQUE",IF(K53&lt;=H53,"REPOR","OK")))</f>
        <v/>
      </c>
      <c r="M53" s="15">
        <f>IF(A53="","",MAX(K53,0)*E53)</f>
        <v/>
      </c>
      <c r="N53" s="16">
        <f>IF(A53="","",IF(K53&lt;=H53,MAX(2*H53-K53,0),0))</f>
        <v/>
      </c>
      <c r="O53" s="17">
        <f>IF(OR(A53="",F53=0,F53=""),"",(F53-E53)/F53)</f>
        <v/>
      </c>
    </row>
    <row r="54">
      <c r="A54" s="14" t="n"/>
      <c r="B54" s="14" t="n"/>
      <c r="C54" s="14" t="n"/>
      <c r="D54" s="14" t="n"/>
      <c r="E54" s="15" t="n"/>
      <c r="F54" s="15" t="n"/>
      <c r="G54" s="16" t="n"/>
      <c r="H54" s="16" t="n"/>
      <c r="I54" s="16">
        <f>IF(A54="","",SUMIFS('Movimentações'!$E$5:$E$5000,'Movimentações'!$B$5:$B$5000,A54,'Movimentações'!$D$5:$D$5000,"Entrada"))</f>
        <v/>
      </c>
      <c r="J54" s="16">
        <f>IF(A54="","",SUMIFS('Movimentações'!$E$5:$E$5000,'Movimentações'!$B$5:$B$5000,A54,'Movimentações'!$D$5:$D$5000,"Saída"))</f>
        <v/>
      </c>
      <c r="K54" s="16">
        <f>IF(A54="","",G54+I54-J54)</f>
        <v/>
      </c>
      <c r="L54" s="14">
        <f>IF(A54="","",IF(K54&lt;=0,"SEM ESTOQUE",IF(K54&lt;=H54,"REPOR","OK")))</f>
        <v/>
      </c>
      <c r="M54" s="15">
        <f>IF(A54="","",MAX(K54,0)*E54)</f>
        <v/>
      </c>
      <c r="N54" s="16">
        <f>IF(A54="","",IF(K54&lt;=H54,MAX(2*H54-K54,0),0))</f>
        <v/>
      </c>
      <c r="O54" s="17">
        <f>IF(OR(A54="",F54=0,F54=""),"",(F54-E54)/F54)</f>
        <v/>
      </c>
    </row>
    <row r="55">
      <c r="A55" s="14" t="n"/>
      <c r="B55" s="14" t="n"/>
      <c r="C55" s="14" t="n"/>
      <c r="D55" s="14" t="n"/>
      <c r="E55" s="15" t="n"/>
      <c r="F55" s="15" t="n"/>
      <c r="G55" s="16" t="n"/>
      <c r="H55" s="16" t="n"/>
      <c r="I55" s="16">
        <f>IF(A55="","",SUMIFS('Movimentações'!$E$5:$E$5000,'Movimentações'!$B$5:$B$5000,A55,'Movimentações'!$D$5:$D$5000,"Entrada"))</f>
        <v/>
      </c>
      <c r="J55" s="16">
        <f>IF(A55="","",SUMIFS('Movimentações'!$E$5:$E$5000,'Movimentações'!$B$5:$B$5000,A55,'Movimentações'!$D$5:$D$5000,"Saída"))</f>
        <v/>
      </c>
      <c r="K55" s="16">
        <f>IF(A55="","",G55+I55-J55)</f>
        <v/>
      </c>
      <c r="L55" s="14">
        <f>IF(A55="","",IF(K55&lt;=0,"SEM ESTOQUE",IF(K55&lt;=H55,"REPOR","OK")))</f>
        <v/>
      </c>
      <c r="M55" s="15">
        <f>IF(A55="","",MAX(K55,0)*E55)</f>
        <v/>
      </c>
      <c r="N55" s="16">
        <f>IF(A55="","",IF(K55&lt;=H55,MAX(2*H55-K55,0),0))</f>
        <v/>
      </c>
      <c r="O55" s="17">
        <f>IF(OR(A55="",F55=0,F55=""),"",(F55-E55)/F55)</f>
        <v/>
      </c>
    </row>
    <row r="56">
      <c r="A56" s="14" t="n"/>
      <c r="B56" s="14" t="n"/>
      <c r="C56" s="14" t="n"/>
      <c r="D56" s="14" t="n"/>
      <c r="E56" s="15" t="n"/>
      <c r="F56" s="15" t="n"/>
      <c r="G56" s="16" t="n"/>
      <c r="H56" s="16" t="n"/>
      <c r="I56" s="16">
        <f>IF(A56="","",SUMIFS('Movimentações'!$E$5:$E$5000,'Movimentações'!$B$5:$B$5000,A56,'Movimentações'!$D$5:$D$5000,"Entrada"))</f>
        <v/>
      </c>
      <c r="J56" s="16">
        <f>IF(A56="","",SUMIFS('Movimentações'!$E$5:$E$5000,'Movimentações'!$B$5:$B$5000,A56,'Movimentações'!$D$5:$D$5000,"Saída"))</f>
        <v/>
      </c>
      <c r="K56" s="16">
        <f>IF(A56="","",G56+I56-J56)</f>
        <v/>
      </c>
      <c r="L56" s="14">
        <f>IF(A56="","",IF(K56&lt;=0,"SEM ESTOQUE",IF(K56&lt;=H56,"REPOR","OK")))</f>
        <v/>
      </c>
      <c r="M56" s="15">
        <f>IF(A56="","",MAX(K56,0)*E56)</f>
        <v/>
      </c>
      <c r="N56" s="16">
        <f>IF(A56="","",IF(K56&lt;=H56,MAX(2*H56-K56,0),0))</f>
        <v/>
      </c>
      <c r="O56" s="17">
        <f>IF(OR(A56="",F56=0,F56=""),"",(F56-E56)/F56)</f>
        <v/>
      </c>
    </row>
    <row r="57">
      <c r="A57" s="14" t="n"/>
      <c r="B57" s="14" t="n"/>
      <c r="C57" s="14" t="n"/>
      <c r="D57" s="14" t="n"/>
      <c r="E57" s="15" t="n"/>
      <c r="F57" s="15" t="n"/>
      <c r="G57" s="16" t="n"/>
      <c r="H57" s="16" t="n"/>
      <c r="I57" s="16">
        <f>IF(A57="","",SUMIFS('Movimentações'!$E$5:$E$5000,'Movimentações'!$B$5:$B$5000,A57,'Movimentações'!$D$5:$D$5000,"Entrada"))</f>
        <v/>
      </c>
      <c r="J57" s="16">
        <f>IF(A57="","",SUMIFS('Movimentações'!$E$5:$E$5000,'Movimentações'!$B$5:$B$5000,A57,'Movimentações'!$D$5:$D$5000,"Saída"))</f>
        <v/>
      </c>
      <c r="K57" s="16">
        <f>IF(A57="","",G57+I57-J57)</f>
        <v/>
      </c>
      <c r="L57" s="14">
        <f>IF(A57="","",IF(K57&lt;=0,"SEM ESTOQUE",IF(K57&lt;=H57,"REPOR","OK")))</f>
        <v/>
      </c>
      <c r="M57" s="15">
        <f>IF(A57="","",MAX(K57,0)*E57)</f>
        <v/>
      </c>
      <c r="N57" s="16">
        <f>IF(A57="","",IF(K57&lt;=H57,MAX(2*H57-K57,0),0))</f>
        <v/>
      </c>
      <c r="O57" s="17">
        <f>IF(OR(A57="",F57=0,F57=""),"",(F57-E57)/F57)</f>
        <v/>
      </c>
    </row>
    <row r="58">
      <c r="A58" s="14" t="n"/>
      <c r="B58" s="14" t="n"/>
      <c r="C58" s="14" t="n"/>
      <c r="D58" s="14" t="n"/>
      <c r="E58" s="15" t="n"/>
      <c r="F58" s="15" t="n"/>
      <c r="G58" s="16" t="n"/>
      <c r="H58" s="16" t="n"/>
      <c r="I58" s="16">
        <f>IF(A58="","",SUMIFS('Movimentações'!$E$5:$E$5000,'Movimentações'!$B$5:$B$5000,A58,'Movimentações'!$D$5:$D$5000,"Entrada"))</f>
        <v/>
      </c>
      <c r="J58" s="16">
        <f>IF(A58="","",SUMIFS('Movimentações'!$E$5:$E$5000,'Movimentações'!$B$5:$B$5000,A58,'Movimentações'!$D$5:$D$5000,"Saída"))</f>
        <v/>
      </c>
      <c r="K58" s="16">
        <f>IF(A58="","",G58+I58-J58)</f>
        <v/>
      </c>
      <c r="L58" s="14">
        <f>IF(A58="","",IF(K58&lt;=0,"SEM ESTOQUE",IF(K58&lt;=H58,"REPOR","OK")))</f>
        <v/>
      </c>
      <c r="M58" s="15">
        <f>IF(A58="","",MAX(K58,0)*E58)</f>
        <v/>
      </c>
      <c r="N58" s="16">
        <f>IF(A58="","",IF(K58&lt;=H58,MAX(2*H58-K58,0),0))</f>
        <v/>
      </c>
      <c r="O58" s="17">
        <f>IF(OR(A58="",F58=0,F58=""),"",(F58-E58)/F58)</f>
        <v/>
      </c>
    </row>
    <row r="59">
      <c r="A59" s="14" t="n"/>
      <c r="B59" s="14" t="n"/>
      <c r="C59" s="14" t="n"/>
      <c r="D59" s="14" t="n"/>
      <c r="E59" s="15" t="n"/>
      <c r="F59" s="15" t="n"/>
      <c r="G59" s="16" t="n"/>
      <c r="H59" s="16" t="n"/>
      <c r="I59" s="16">
        <f>IF(A59="","",SUMIFS('Movimentações'!$E$5:$E$5000,'Movimentações'!$B$5:$B$5000,A59,'Movimentações'!$D$5:$D$5000,"Entrada"))</f>
        <v/>
      </c>
      <c r="J59" s="16">
        <f>IF(A59="","",SUMIFS('Movimentações'!$E$5:$E$5000,'Movimentações'!$B$5:$B$5000,A59,'Movimentações'!$D$5:$D$5000,"Saída"))</f>
        <v/>
      </c>
      <c r="K59" s="16">
        <f>IF(A59="","",G59+I59-J59)</f>
        <v/>
      </c>
      <c r="L59" s="14">
        <f>IF(A59="","",IF(K59&lt;=0,"SEM ESTOQUE",IF(K59&lt;=H59,"REPOR","OK")))</f>
        <v/>
      </c>
      <c r="M59" s="15">
        <f>IF(A59="","",MAX(K59,0)*E59)</f>
        <v/>
      </c>
      <c r="N59" s="16">
        <f>IF(A59="","",IF(K59&lt;=H59,MAX(2*H59-K59,0),0))</f>
        <v/>
      </c>
      <c r="O59" s="17">
        <f>IF(OR(A59="",F59=0,F59=""),"",(F59-E59)/F59)</f>
        <v/>
      </c>
    </row>
    <row r="60">
      <c r="A60" s="14" t="n"/>
      <c r="B60" s="14" t="n"/>
      <c r="C60" s="14" t="n"/>
      <c r="D60" s="14" t="n"/>
      <c r="E60" s="15" t="n"/>
      <c r="F60" s="15" t="n"/>
      <c r="G60" s="16" t="n"/>
      <c r="H60" s="16" t="n"/>
      <c r="I60" s="16">
        <f>IF(A60="","",SUMIFS('Movimentações'!$E$5:$E$5000,'Movimentações'!$B$5:$B$5000,A60,'Movimentações'!$D$5:$D$5000,"Entrada"))</f>
        <v/>
      </c>
      <c r="J60" s="16">
        <f>IF(A60="","",SUMIFS('Movimentações'!$E$5:$E$5000,'Movimentações'!$B$5:$B$5000,A60,'Movimentações'!$D$5:$D$5000,"Saída"))</f>
        <v/>
      </c>
      <c r="K60" s="16">
        <f>IF(A60="","",G60+I60-J60)</f>
        <v/>
      </c>
      <c r="L60" s="14">
        <f>IF(A60="","",IF(K60&lt;=0,"SEM ESTOQUE",IF(K60&lt;=H60,"REPOR","OK")))</f>
        <v/>
      </c>
      <c r="M60" s="15">
        <f>IF(A60="","",MAX(K60,0)*E60)</f>
        <v/>
      </c>
      <c r="N60" s="16">
        <f>IF(A60="","",IF(K60&lt;=H60,MAX(2*H60-K60,0),0))</f>
        <v/>
      </c>
      <c r="O60" s="17">
        <f>IF(OR(A60="",F60=0,F60=""),"",(F60-E60)/F60)</f>
        <v/>
      </c>
    </row>
    <row r="61">
      <c r="A61" s="14" t="n"/>
      <c r="B61" s="14" t="n"/>
      <c r="C61" s="14" t="n"/>
      <c r="D61" s="14" t="n"/>
      <c r="E61" s="15" t="n"/>
      <c r="F61" s="15" t="n"/>
      <c r="G61" s="16" t="n"/>
      <c r="H61" s="16" t="n"/>
      <c r="I61" s="16">
        <f>IF(A61="","",SUMIFS('Movimentações'!$E$5:$E$5000,'Movimentações'!$B$5:$B$5000,A61,'Movimentações'!$D$5:$D$5000,"Entrada"))</f>
        <v/>
      </c>
      <c r="J61" s="16">
        <f>IF(A61="","",SUMIFS('Movimentações'!$E$5:$E$5000,'Movimentações'!$B$5:$B$5000,A61,'Movimentações'!$D$5:$D$5000,"Saída"))</f>
        <v/>
      </c>
      <c r="K61" s="16">
        <f>IF(A61="","",G61+I61-J61)</f>
        <v/>
      </c>
      <c r="L61" s="14">
        <f>IF(A61="","",IF(K61&lt;=0,"SEM ESTOQUE",IF(K61&lt;=H61,"REPOR","OK")))</f>
        <v/>
      </c>
      <c r="M61" s="15">
        <f>IF(A61="","",MAX(K61,0)*E61)</f>
        <v/>
      </c>
      <c r="N61" s="16">
        <f>IF(A61="","",IF(K61&lt;=H61,MAX(2*H61-K61,0),0))</f>
        <v/>
      </c>
      <c r="O61" s="17">
        <f>IF(OR(A61="",F61=0,F61=""),"",(F61-E61)/F61)</f>
        <v/>
      </c>
    </row>
    <row r="62">
      <c r="A62" s="14" t="n"/>
      <c r="B62" s="14" t="n"/>
      <c r="C62" s="14" t="n"/>
      <c r="D62" s="14" t="n"/>
      <c r="E62" s="15" t="n"/>
      <c r="F62" s="15" t="n"/>
      <c r="G62" s="16" t="n"/>
      <c r="H62" s="16" t="n"/>
      <c r="I62" s="16">
        <f>IF(A62="","",SUMIFS('Movimentações'!$E$5:$E$5000,'Movimentações'!$B$5:$B$5000,A62,'Movimentações'!$D$5:$D$5000,"Entrada"))</f>
        <v/>
      </c>
      <c r="J62" s="16">
        <f>IF(A62="","",SUMIFS('Movimentações'!$E$5:$E$5000,'Movimentações'!$B$5:$B$5000,A62,'Movimentações'!$D$5:$D$5000,"Saída"))</f>
        <v/>
      </c>
      <c r="K62" s="16">
        <f>IF(A62="","",G62+I62-J62)</f>
        <v/>
      </c>
      <c r="L62" s="14">
        <f>IF(A62="","",IF(K62&lt;=0,"SEM ESTOQUE",IF(K62&lt;=H62,"REPOR","OK")))</f>
        <v/>
      </c>
      <c r="M62" s="15">
        <f>IF(A62="","",MAX(K62,0)*E62)</f>
        <v/>
      </c>
      <c r="N62" s="16">
        <f>IF(A62="","",IF(K62&lt;=H62,MAX(2*H62-K62,0),0))</f>
        <v/>
      </c>
      <c r="O62" s="17">
        <f>IF(OR(A62="",F62=0,F62=""),"",(F62-E62)/F62)</f>
        <v/>
      </c>
    </row>
    <row r="63">
      <c r="A63" s="14" t="n"/>
      <c r="B63" s="14" t="n"/>
      <c r="C63" s="14" t="n"/>
      <c r="D63" s="14" t="n"/>
      <c r="E63" s="15" t="n"/>
      <c r="F63" s="15" t="n"/>
      <c r="G63" s="16" t="n"/>
      <c r="H63" s="16" t="n"/>
      <c r="I63" s="16">
        <f>IF(A63="","",SUMIFS('Movimentações'!$E$5:$E$5000,'Movimentações'!$B$5:$B$5000,A63,'Movimentações'!$D$5:$D$5000,"Entrada"))</f>
        <v/>
      </c>
      <c r="J63" s="16">
        <f>IF(A63="","",SUMIFS('Movimentações'!$E$5:$E$5000,'Movimentações'!$B$5:$B$5000,A63,'Movimentações'!$D$5:$D$5000,"Saída"))</f>
        <v/>
      </c>
      <c r="K63" s="16">
        <f>IF(A63="","",G63+I63-J63)</f>
        <v/>
      </c>
      <c r="L63" s="14">
        <f>IF(A63="","",IF(K63&lt;=0,"SEM ESTOQUE",IF(K63&lt;=H63,"REPOR","OK")))</f>
        <v/>
      </c>
      <c r="M63" s="15">
        <f>IF(A63="","",MAX(K63,0)*E63)</f>
        <v/>
      </c>
      <c r="N63" s="16">
        <f>IF(A63="","",IF(K63&lt;=H63,MAX(2*H63-K63,0),0))</f>
        <v/>
      </c>
      <c r="O63" s="17">
        <f>IF(OR(A63="",F63=0,F63=""),"",(F63-E63)/F63)</f>
        <v/>
      </c>
    </row>
    <row r="64">
      <c r="A64" s="14" t="n"/>
      <c r="B64" s="14" t="n"/>
      <c r="C64" s="14" t="n"/>
      <c r="D64" s="14" t="n"/>
      <c r="E64" s="15" t="n"/>
      <c r="F64" s="15" t="n"/>
      <c r="G64" s="16" t="n"/>
      <c r="H64" s="16" t="n"/>
      <c r="I64" s="16">
        <f>IF(A64="","",SUMIFS('Movimentações'!$E$5:$E$5000,'Movimentações'!$B$5:$B$5000,A64,'Movimentações'!$D$5:$D$5000,"Entrada"))</f>
        <v/>
      </c>
      <c r="J64" s="16">
        <f>IF(A64="","",SUMIFS('Movimentações'!$E$5:$E$5000,'Movimentações'!$B$5:$B$5000,A64,'Movimentações'!$D$5:$D$5000,"Saída"))</f>
        <v/>
      </c>
      <c r="K64" s="16">
        <f>IF(A64="","",G64+I64-J64)</f>
        <v/>
      </c>
      <c r="L64" s="14">
        <f>IF(A64="","",IF(K64&lt;=0,"SEM ESTOQUE",IF(K64&lt;=H64,"REPOR","OK")))</f>
        <v/>
      </c>
      <c r="M64" s="15">
        <f>IF(A64="","",MAX(K64,0)*E64)</f>
        <v/>
      </c>
      <c r="N64" s="16">
        <f>IF(A64="","",IF(K64&lt;=H64,MAX(2*H64-K64,0),0))</f>
        <v/>
      </c>
      <c r="O64" s="17">
        <f>IF(OR(A64="",F64=0,F64=""),"",(F64-E64)/F64)</f>
        <v/>
      </c>
    </row>
    <row r="65">
      <c r="A65" s="14" t="n"/>
      <c r="B65" s="14" t="n"/>
      <c r="C65" s="14" t="n"/>
      <c r="D65" s="14" t="n"/>
      <c r="E65" s="15" t="n"/>
      <c r="F65" s="15" t="n"/>
      <c r="G65" s="16" t="n"/>
      <c r="H65" s="16" t="n"/>
      <c r="I65" s="16">
        <f>IF(A65="","",SUMIFS('Movimentações'!$E$5:$E$5000,'Movimentações'!$B$5:$B$5000,A65,'Movimentações'!$D$5:$D$5000,"Entrada"))</f>
        <v/>
      </c>
      <c r="J65" s="16">
        <f>IF(A65="","",SUMIFS('Movimentações'!$E$5:$E$5000,'Movimentações'!$B$5:$B$5000,A65,'Movimentações'!$D$5:$D$5000,"Saída"))</f>
        <v/>
      </c>
      <c r="K65" s="16">
        <f>IF(A65="","",G65+I65-J65)</f>
        <v/>
      </c>
      <c r="L65" s="14">
        <f>IF(A65="","",IF(K65&lt;=0,"SEM ESTOQUE",IF(K65&lt;=H65,"REPOR","OK")))</f>
        <v/>
      </c>
      <c r="M65" s="15">
        <f>IF(A65="","",MAX(K65,0)*E65)</f>
        <v/>
      </c>
      <c r="N65" s="16">
        <f>IF(A65="","",IF(K65&lt;=H65,MAX(2*H65-K65,0),0))</f>
        <v/>
      </c>
      <c r="O65" s="17">
        <f>IF(OR(A65="",F65=0,F65=""),"",(F65-E65)/F65)</f>
        <v/>
      </c>
    </row>
    <row r="66">
      <c r="A66" s="14" t="n"/>
      <c r="B66" s="14" t="n"/>
      <c r="C66" s="14" t="n"/>
      <c r="D66" s="14" t="n"/>
      <c r="E66" s="15" t="n"/>
      <c r="F66" s="15" t="n"/>
      <c r="G66" s="16" t="n"/>
      <c r="H66" s="16" t="n"/>
      <c r="I66" s="16">
        <f>IF(A66="","",SUMIFS('Movimentações'!$E$5:$E$5000,'Movimentações'!$B$5:$B$5000,A66,'Movimentações'!$D$5:$D$5000,"Entrada"))</f>
        <v/>
      </c>
      <c r="J66" s="16">
        <f>IF(A66="","",SUMIFS('Movimentações'!$E$5:$E$5000,'Movimentações'!$B$5:$B$5000,A66,'Movimentações'!$D$5:$D$5000,"Saída"))</f>
        <v/>
      </c>
      <c r="K66" s="16">
        <f>IF(A66="","",G66+I66-J66)</f>
        <v/>
      </c>
      <c r="L66" s="14">
        <f>IF(A66="","",IF(K66&lt;=0,"SEM ESTOQUE",IF(K66&lt;=H66,"REPOR","OK")))</f>
        <v/>
      </c>
      <c r="M66" s="15">
        <f>IF(A66="","",MAX(K66,0)*E66)</f>
        <v/>
      </c>
      <c r="N66" s="16">
        <f>IF(A66="","",IF(K66&lt;=H66,MAX(2*H66-K66,0),0))</f>
        <v/>
      </c>
      <c r="O66" s="17">
        <f>IF(OR(A66="",F66=0,F66=""),"",(F66-E66)/F66)</f>
        <v/>
      </c>
    </row>
    <row r="67">
      <c r="A67" s="14" t="n"/>
      <c r="B67" s="14" t="n"/>
      <c r="C67" s="14" t="n"/>
      <c r="D67" s="14" t="n"/>
      <c r="E67" s="15" t="n"/>
      <c r="F67" s="15" t="n"/>
      <c r="G67" s="16" t="n"/>
      <c r="H67" s="16" t="n"/>
      <c r="I67" s="16">
        <f>IF(A67="","",SUMIFS('Movimentações'!$E$5:$E$5000,'Movimentações'!$B$5:$B$5000,A67,'Movimentações'!$D$5:$D$5000,"Entrada"))</f>
        <v/>
      </c>
      <c r="J67" s="16">
        <f>IF(A67="","",SUMIFS('Movimentações'!$E$5:$E$5000,'Movimentações'!$B$5:$B$5000,A67,'Movimentações'!$D$5:$D$5000,"Saída"))</f>
        <v/>
      </c>
      <c r="K67" s="16">
        <f>IF(A67="","",G67+I67-J67)</f>
        <v/>
      </c>
      <c r="L67" s="14">
        <f>IF(A67="","",IF(K67&lt;=0,"SEM ESTOQUE",IF(K67&lt;=H67,"REPOR","OK")))</f>
        <v/>
      </c>
      <c r="M67" s="15">
        <f>IF(A67="","",MAX(K67,0)*E67)</f>
        <v/>
      </c>
      <c r="N67" s="16">
        <f>IF(A67="","",IF(K67&lt;=H67,MAX(2*H67-K67,0),0))</f>
        <v/>
      </c>
      <c r="O67" s="17">
        <f>IF(OR(A67="",F67=0,F67=""),"",(F67-E67)/F67)</f>
        <v/>
      </c>
    </row>
    <row r="68">
      <c r="A68" s="14" t="n"/>
      <c r="B68" s="14" t="n"/>
      <c r="C68" s="14" t="n"/>
      <c r="D68" s="14" t="n"/>
      <c r="E68" s="15" t="n"/>
      <c r="F68" s="15" t="n"/>
      <c r="G68" s="16" t="n"/>
      <c r="H68" s="16" t="n"/>
      <c r="I68" s="16">
        <f>IF(A68="","",SUMIFS('Movimentações'!$E$5:$E$5000,'Movimentações'!$B$5:$B$5000,A68,'Movimentações'!$D$5:$D$5000,"Entrada"))</f>
        <v/>
      </c>
      <c r="J68" s="16">
        <f>IF(A68="","",SUMIFS('Movimentações'!$E$5:$E$5000,'Movimentações'!$B$5:$B$5000,A68,'Movimentações'!$D$5:$D$5000,"Saída"))</f>
        <v/>
      </c>
      <c r="K68" s="16">
        <f>IF(A68="","",G68+I68-J68)</f>
        <v/>
      </c>
      <c r="L68" s="14">
        <f>IF(A68="","",IF(K68&lt;=0,"SEM ESTOQUE",IF(K68&lt;=H68,"REPOR","OK")))</f>
        <v/>
      </c>
      <c r="M68" s="15">
        <f>IF(A68="","",MAX(K68,0)*E68)</f>
        <v/>
      </c>
      <c r="N68" s="16">
        <f>IF(A68="","",IF(K68&lt;=H68,MAX(2*H68-K68,0),0))</f>
        <v/>
      </c>
      <c r="O68" s="17">
        <f>IF(OR(A68="",F68=0,F68=""),"",(F68-E68)/F68)</f>
        <v/>
      </c>
    </row>
    <row r="69">
      <c r="A69" s="14" t="n"/>
      <c r="B69" s="14" t="n"/>
      <c r="C69" s="14" t="n"/>
      <c r="D69" s="14" t="n"/>
      <c r="E69" s="15" t="n"/>
      <c r="F69" s="15" t="n"/>
      <c r="G69" s="16" t="n"/>
      <c r="H69" s="16" t="n"/>
      <c r="I69" s="16">
        <f>IF(A69="","",SUMIFS('Movimentações'!$E$5:$E$5000,'Movimentações'!$B$5:$B$5000,A69,'Movimentações'!$D$5:$D$5000,"Entrada"))</f>
        <v/>
      </c>
      <c r="J69" s="16">
        <f>IF(A69="","",SUMIFS('Movimentações'!$E$5:$E$5000,'Movimentações'!$B$5:$B$5000,A69,'Movimentações'!$D$5:$D$5000,"Saída"))</f>
        <v/>
      </c>
      <c r="K69" s="16">
        <f>IF(A69="","",G69+I69-J69)</f>
        <v/>
      </c>
      <c r="L69" s="14">
        <f>IF(A69="","",IF(K69&lt;=0,"SEM ESTOQUE",IF(K69&lt;=H69,"REPOR","OK")))</f>
        <v/>
      </c>
      <c r="M69" s="15">
        <f>IF(A69="","",MAX(K69,0)*E69)</f>
        <v/>
      </c>
      <c r="N69" s="16">
        <f>IF(A69="","",IF(K69&lt;=H69,MAX(2*H69-K69,0),0))</f>
        <v/>
      </c>
      <c r="O69" s="17">
        <f>IF(OR(A69="",F69=0,F69=""),"",(F69-E69)/F69)</f>
        <v/>
      </c>
    </row>
    <row r="70">
      <c r="A70" s="14" t="n"/>
      <c r="B70" s="14" t="n"/>
      <c r="C70" s="14" t="n"/>
      <c r="D70" s="14" t="n"/>
      <c r="E70" s="15" t="n"/>
      <c r="F70" s="15" t="n"/>
      <c r="G70" s="16" t="n"/>
      <c r="H70" s="16" t="n"/>
      <c r="I70" s="16">
        <f>IF(A70="","",SUMIFS('Movimentações'!$E$5:$E$5000,'Movimentações'!$B$5:$B$5000,A70,'Movimentações'!$D$5:$D$5000,"Entrada"))</f>
        <v/>
      </c>
      <c r="J70" s="16">
        <f>IF(A70="","",SUMIFS('Movimentações'!$E$5:$E$5000,'Movimentações'!$B$5:$B$5000,A70,'Movimentações'!$D$5:$D$5000,"Saída"))</f>
        <v/>
      </c>
      <c r="K70" s="16">
        <f>IF(A70="","",G70+I70-J70)</f>
        <v/>
      </c>
      <c r="L70" s="14">
        <f>IF(A70="","",IF(K70&lt;=0,"SEM ESTOQUE",IF(K70&lt;=H70,"REPOR","OK")))</f>
        <v/>
      </c>
      <c r="M70" s="15">
        <f>IF(A70="","",MAX(K70,0)*E70)</f>
        <v/>
      </c>
      <c r="N70" s="16">
        <f>IF(A70="","",IF(K70&lt;=H70,MAX(2*H70-K70,0),0))</f>
        <v/>
      </c>
      <c r="O70" s="17">
        <f>IF(OR(A70="",F70=0,F70=""),"",(F70-E70)/F70)</f>
        <v/>
      </c>
    </row>
    <row r="71">
      <c r="A71" s="14" t="n"/>
      <c r="B71" s="14" t="n"/>
      <c r="C71" s="14" t="n"/>
      <c r="D71" s="14" t="n"/>
      <c r="E71" s="15" t="n"/>
      <c r="F71" s="15" t="n"/>
      <c r="G71" s="16" t="n"/>
      <c r="H71" s="16" t="n"/>
      <c r="I71" s="16">
        <f>IF(A71="","",SUMIFS('Movimentações'!$E$5:$E$5000,'Movimentações'!$B$5:$B$5000,A71,'Movimentações'!$D$5:$D$5000,"Entrada"))</f>
        <v/>
      </c>
      <c r="J71" s="16">
        <f>IF(A71="","",SUMIFS('Movimentações'!$E$5:$E$5000,'Movimentações'!$B$5:$B$5000,A71,'Movimentações'!$D$5:$D$5000,"Saída"))</f>
        <v/>
      </c>
      <c r="K71" s="16">
        <f>IF(A71="","",G71+I71-J71)</f>
        <v/>
      </c>
      <c r="L71" s="14">
        <f>IF(A71="","",IF(K71&lt;=0,"SEM ESTOQUE",IF(K71&lt;=H71,"REPOR","OK")))</f>
        <v/>
      </c>
      <c r="M71" s="15">
        <f>IF(A71="","",MAX(K71,0)*E71)</f>
        <v/>
      </c>
      <c r="N71" s="16">
        <f>IF(A71="","",IF(K71&lt;=H71,MAX(2*H71-K71,0),0))</f>
        <v/>
      </c>
      <c r="O71" s="17">
        <f>IF(OR(A71="",F71=0,F71=""),"",(F71-E71)/F71)</f>
        <v/>
      </c>
    </row>
    <row r="72">
      <c r="A72" s="14" t="n"/>
      <c r="B72" s="14" t="n"/>
      <c r="C72" s="14" t="n"/>
      <c r="D72" s="14" t="n"/>
      <c r="E72" s="15" t="n"/>
      <c r="F72" s="15" t="n"/>
      <c r="G72" s="16" t="n"/>
      <c r="H72" s="16" t="n"/>
      <c r="I72" s="16">
        <f>IF(A72="","",SUMIFS('Movimentações'!$E$5:$E$5000,'Movimentações'!$B$5:$B$5000,A72,'Movimentações'!$D$5:$D$5000,"Entrada"))</f>
        <v/>
      </c>
      <c r="J72" s="16">
        <f>IF(A72="","",SUMIFS('Movimentações'!$E$5:$E$5000,'Movimentações'!$B$5:$B$5000,A72,'Movimentações'!$D$5:$D$5000,"Saída"))</f>
        <v/>
      </c>
      <c r="K72" s="16">
        <f>IF(A72="","",G72+I72-J72)</f>
        <v/>
      </c>
      <c r="L72" s="14">
        <f>IF(A72="","",IF(K72&lt;=0,"SEM ESTOQUE",IF(K72&lt;=H72,"REPOR","OK")))</f>
        <v/>
      </c>
      <c r="M72" s="15">
        <f>IF(A72="","",MAX(K72,0)*E72)</f>
        <v/>
      </c>
      <c r="N72" s="16">
        <f>IF(A72="","",IF(K72&lt;=H72,MAX(2*H72-K72,0),0))</f>
        <v/>
      </c>
      <c r="O72" s="17">
        <f>IF(OR(A72="",F72=0,F72=""),"",(F72-E72)/F72)</f>
        <v/>
      </c>
    </row>
    <row r="73">
      <c r="A73" s="14" t="n"/>
      <c r="B73" s="14" t="n"/>
      <c r="C73" s="14" t="n"/>
      <c r="D73" s="14" t="n"/>
      <c r="E73" s="15" t="n"/>
      <c r="F73" s="15" t="n"/>
      <c r="G73" s="16" t="n"/>
      <c r="H73" s="16" t="n"/>
      <c r="I73" s="16">
        <f>IF(A73="","",SUMIFS('Movimentações'!$E$5:$E$5000,'Movimentações'!$B$5:$B$5000,A73,'Movimentações'!$D$5:$D$5000,"Entrada"))</f>
        <v/>
      </c>
      <c r="J73" s="16">
        <f>IF(A73="","",SUMIFS('Movimentações'!$E$5:$E$5000,'Movimentações'!$B$5:$B$5000,A73,'Movimentações'!$D$5:$D$5000,"Saída"))</f>
        <v/>
      </c>
      <c r="K73" s="16">
        <f>IF(A73="","",G73+I73-J73)</f>
        <v/>
      </c>
      <c r="L73" s="14">
        <f>IF(A73="","",IF(K73&lt;=0,"SEM ESTOQUE",IF(K73&lt;=H73,"REPOR","OK")))</f>
        <v/>
      </c>
      <c r="M73" s="15">
        <f>IF(A73="","",MAX(K73,0)*E73)</f>
        <v/>
      </c>
      <c r="N73" s="16">
        <f>IF(A73="","",IF(K73&lt;=H73,MAX(2*H73-K73,0),0))</f>
        <v/>
      </c>
      <c r="O73" s="17">
        <f>IF(OR(A73="",F73=0,F73=""),"",(F73-E73)/F73)</f>
        <v/>
      </c>
    </row>
    <row r="74">
      <c r="A74" s="14" t="n"/>
      <c r="B74" s="14" t="n"/>
      <c r="C74" s="14" t="n"/>
      <c r="D74" s="14" t="n"/>
      <c r="E74" s="15" t="n"/>
      <c r="F74" s="15" t="n"/>
      <c r="G74" s="16" t="n"/>
      <c r="H74" s="16" t="n"/>
      <c r="I74" s="16">
        <f>IF(A74="","",SUMIFS('Movimentações'!$E$5:$E$5000,'Movimentações'!$B$5:$B$5000,A74,'Movimentações'!$D$5:$D$5000,"Entrada"))</f>
        <v/>
      </c>
      <c r="J74" s="16">
        <f>IF(A74="","",SUMIFS('Movimentações'!$E$5:$E$5000,'Movimentações'!$B$5:$B$5000,A74,'Movimentações'!$D$5:$D$5000,"Saída"))</f>
        <v/>
      </c>
      <c r="K74" s="16">
        <f>IF(A74="","",G74+I74-J74)</f>
        <v/>
      </c>
      <c r="L74" s="14">
        <f>IF(A74="","",IF(K74&lt;=0,"SEM ESTOQUE",IF(K74&lt;=H74,"REPOR","OK")))</f>
        <v/>
      </c>
      <c r="M74" s="15">
        <f>IF(A74="","",MAX(K74,0)*E74)</f>
        <v/>
      </c>
      <c r="N74" s="16">
        <f>IF(A74="","",IF(K74&lt;=H74,MAX(2*H74-K74,0),0))</f>
        <v/>
      </c>
      <c r="O74" s="17">
        <f>IF(OR(A74="",F74=0,F74=""),"",(F74-E74)/F74)</f>
        <v/>
      </c>
    </row>
    <row r="75">
      <c r="A75" s="14" t="n"/>
      <c r="B75" s="14" t="n"/>
      <c r="C75" s="14" t="n"/>
      <c r="D75" s="14" t="n"/>
      <c r="E75" s="15" t="n"/>
      <c r="F75" s="15" t="n"/>
      <c r="G75" s="16" t="n"/>
      <c r="H75" s="16" t="n"/>
      <c r="I75" s="16">
        <f>IF(A75="","",SUMIFS('Movimentações'!$E$5:$E$5000,'Movimentações'!$B$5:$B$5000,A75,'Movimentações'!$D$5:$D$5000,"Entrada"))</f>
        <v/>
      </c>
      <c r="J75" s="16">
        <f>IF(A75="","",SUMIFS('Movimentações'!$E$5:$E$5000,'Movimentações'!$B$5:$B$5000,A75,'Movimentações'!$D$5:$D$5000,"Saída"))</f>
        <v/>
      </c>
      <c r="K75" s="16">
        <f>IF(A75="","",G75+I75-J75)</f>
        <v/>
      </c>
      <c r="L75" s="14">
        <f>IF(A75="","",IF(K75&lt;=0,"SEM ESTOQUE",IF(K75&lt;=H75,"REPOR","OK")))</f>
        <v/>
      </c>
      <c r="M75" s="15">
        <f>IF(A75="","",MAX(K75,0)*E75)</f>
        <v/>
      </c>
      <c r="N75" s="16">
        <f>IF(A75="","",IF(K75&lt;=H75,MAX(2*H75-K75,0),0))</f>
        <v/>
      </c>
      <c r="O75" s="17">
        <f>IF(OR(A75="",F75=0,F75=""),"",(F75-E75)/F75)</f>
        <v/>
      </c>
    </row>
    <row r="76">
      <c r="A76" s="14" t="n"/>
      <c r="B76" s="14" t="n"/>
      <c r="C76" s="14" t="n"/>
      <c r="D76" s="14" t="n"/>
      <c r="E76" s="15" t="n"/>
      <c r="F76" s="15" t="n"/>
      <c r="G76" s="16" t="n"/>
      <c r="H76" s="16" t="n"/>
      <c r="I76" s="16">
        <f>IF(A76="","",SUMIFS('Movimentações'!$E$5:$E$5000,'Movimentações'!$B$5:$B$5000,A76,'Movimentações'!$D$5:$D$5000,"Entrada"))</f>
        <v/>
      </c>
      <c r="J76" s="16">
        <f>IF(A76="","",SUMIFS('Movimentações'!$E$5:$E$5000,'Movimentações'!$B$5:$B$5000,A76,'Movimentações'!$D$5:$D$5000,"Saída"))</f>
        <v/>
      </c>
      <c r="K76" s="16">
        <f>IF(A76="","",G76+I76-J76)</f>
        <v/>
      </c>
      <c r="L76" s="14">
        <f>IF(A76="","",IF(K76&lt;=0,"SEM ESTOQUE",IF(K76&lt;=H76,"REPOR","OK")))</f>
        <v/>
      </c>
      <c r="M76" s="15">
        <f>IF(A76="","",MAX(K76,0)*E76)</f>
        <v/>
      </c>
      <c r="N76" s="16">
        <f>IF(A76="","",IF(K76&lt;=H76,MAX(2*H76-K76,0),0))</f>
        <v/>
      </c>
      <c r="O76" s="17">
        <f>IF(OR(A76="",F76=0,F76=""),"",(F76-E76)/F76)</f>
        <v/>
      </c>
    </row>
    <row r="77">
      <c r="A77" s="14" t="n"/>
      <c r="B77" s="14" t="n"/>
      <c r="C77" s="14" t="n"/>
      <c r="D77" s="14" t="n"/>
      <c r="E77" s="15" t="n"/>
      <c r="F77" s="15" t="n"/>
      <c r="G77" s="16" t="n"/>
      <c r="H77" s="16" t="n"/>
      <c r="I77" s="16">
        <f>IF(A77="","",SUMIFS('Movimentações'!$E$5:$E$5000,'Movimentações'!$B$5:$B$5000,A77,'Movimentações'!$D$5:$D$5000,"Entrada"))</f>
        <v/>
      </c>
      <c r="J77" s="16">
        <f>IF(A77="","",SUMIFS('Movimentações'!$E$5:$E$5000,'Movimentações'!$B$5:$B$5000,A77,'Movimentações'!$D$5:$D$5000,"Saída"))</f>
        <v/>
      </c>
      <c r="K77" s="16">
        <f>IF(A77="","",G77+I77-J77)</f>
        <v/>
      </c>
      <c r="L77" s="14">
        <f>IF(A77="","",IF(K77&lt;=0,"SEM ESTOQUE",IF(K77&lt;=H77,"REPOR","OK")))</f>
        <v/>
      </c>
      <c r="M77" s="15">
        <f>IF(A77="","",MAX(K77,0)*E77)</f>
        <v/>
      </c>
      <c r="N77" s="16">
        <f>IF(A77="","",IF(K77&lt;=H77,MAX(2*H77-K77,0),0))</f>
        <v/>
      </c>
      <c r="O77" s="17">
        <f>IF(OR(A77="",F77=0,F77=""),"",(F77-E77)/F77)</f>
        <v/>
      </c>
    </row>
    <row r="78">
      <c r="A78" s="14" t="n"/>
      <c r="B78" s="14" t="n"/>
      <c r="C78" s="14" t="n"/>
      <c r="D78" s="14" t="n"/>
      <c r="E78" s="15" t="n"/>
      <c r="F78" s="15" t="n"/>
      <c r="G78" s="16" t="n"/>
      <c r="H78" s="16" t="n"/>
      <c r="I78" s="16">
        <f>IF(A78="","",SUMIFS('Movimentações'!$E$5:$E$5000,'Movimentações'!$B$5:$B$5000,A78,'Movimentações'!$D$5:$D$5000,"Entrada"))</f>
        <v/>
      </c>
      <c r="J78" s="16">
        <f>IF(A78="","",SUMIFS('Movimentações'!$E$5:$E$5000,'Movimentações'!$B$5:$B$5000,A78,'Movimentações'!$D$5:$D$5000,"Saída"))</f>
        <v/>
      </c>
      <c r="K78" s="16">
        <f>IF(A78="","",G78+I78-J78)</f>
        <v/>
      </c>
      <c r="L78" s="14">
        <f>IF(A78="","",IF(K78&lt;=0,"SEM ESTOQUE",IF(K78&lt;=H78,"REPOR","OK")))</f>
        <v/>
      </c>
      <c r="M78" s="15">
        <f>IF(A78="","",MAX(K78,0)*E78)</f>
        <v/>
      </c>
      <c r="N78" s="16">
        <f>IF(A78="","",IF(K78&lt;=H78,MAX(2*H78-K78,0),0))</f>
        <v/>
      </c>
      <c r="O78" s="17">
        <f>IF(OR(A78="",F78=0,F78=""),"",(F78-E78)/F78)</f>
        <v/>
      </c>
    </row>
    <row r="79">
      <c r="A79" s="14" t="n"/>
      <c r="B79" s="14" t="n"/>
      <c r="C79" s="14" t="n"/>
      <c r="D79" s="14" t="n"/>
      <c r="E79" s="15" t="n"/>
      <c r="F79" s="15" t="n"/>
      <c r="G79" s="16" t="n"/>
      <c r="H79" s="16" t="n"/>
      <c r="I79" s="16">
        <f>IF(A79="","",SUMIFS('Movimentações'!$E$5:$E$5000,'Movimentações'!$B$5:$B$5000,A79,'Movimentações'!$D$5:$D$5000,"Entrada"))</f>
        <v/>
      </c>
      <c r="J79" s="16">
        <f>IF(A79="","",SUMIFS('Movimentações'!$E$5:$E$5000,'Movimentações'!$B$5:$B$5000,A79,'Movimentações'!$D$5:$D$5000,"Saída"))</f>
        <v/>
      </c>
      <c r="K79" s="16">
        <f>IF(A79="","",G79+I79-J79)</f>
        <v/>
      </c>
      <c r="L79" s="14">
        <f>IF(A79="","",IF(K79&lt;=0,"SEM ESTOQUE",IF(K79&lt;=H79,"REPOR","OK")))</f>
        <v/>
      </c>
      <c r="M79" s="15">
        <f>IF(A79="","",MAX(K79,0)*E79)</f>
        <v/>
      </c>
      <c r="N79" s="16">
        <f>IF(A79="","",IF(K79&lt;=H79,MAX(2*H79-K79,0),0))</f>
        <v/>
      </c>
      <c r="O79" s="17">
        <f>IF(OR(A79="",F79=0,F79=""),"",(F79-E79)/F79)</f>
        <v/>
      </c>
    </row>
    <row r="80">
      <c r="A80" s="14" t="n"/>
      <c r="B80" s="14" t="n"/>
      <c r="C80" s="14" t="n"/>
      <c r="D80" s="14" t="n"/>
      <c r="E80" s="15" t="n"/>
      <c r="F80" s="15" t="n"/>
      <c r="G80" s="16" t="n"/>
      <c r="H80" s="16" t="n"/>
      <c r="I80" s="16">
        <f>IF(A80="","",SUMIFS('Movimentações'!$E$5:$E$5000,'Movimentações'!$B$5:$B$5000,A80,'Movimentações'!$D$5:$D$5000,"Entrada"))</f>
        <v/>
      </c>
      <c r="J80" s="16">
        <f>IF(A80="","",SUMIFS('Movimentações'!$E$5:$E$5000,'Movimentações'!$B$5:$B$5000,A80,'Movimentações'!$D$5:$D$5000,"Saída"))</f>
        <v/>
      </c>
      <c r="K80" s="16">
        <f>IF(A80="","",G80+I80-J80)</f>
        <v/>
      </c>
      <c r="L80" s="14">
        <f>IF(A80="","",IF(K80&lt;=0,"SEM ESTOQUE",IF(K80&lt;=H80,"REPOR","OK")))</f>
        <v/>
      </c>
      <c r="M80" s="15">
        <f>IF(A80="","",MAX(K80,0)*E80)</f>
        <v/>
      </c>
      <c r="N80" s="16">
        <f>IF(A80="","",IF(K80&lt;=H80,MAX(2*H80-K80,0),0))</f>
        <v/>
      </c>
      <c r="O80" s="17">
        <f>IF(OR(A80="",F80=0,F80=""),"",(F80-E80)/F80)</f>
        <v/>
      </c>
    </row>
    <row r="81">
      <c r="A81" s="14" t="n"/>
      <c r="B81" s="14" t="n"/>
      <c r="C81" s="14" t="n"/>
      <c r="D81" s="14" t="n"/>
      <c r="E81" s="15" t="n"/>
      <c r="F81" s="15" t="n"/>
      <c r="G81" s="16" t="n"/>
      <c r="H81" s="16" t="n"/>
      <c r="I81" s="16">
        <f>IF(A81="","",SUMIFS('Movimentações'!$E$5:$E$5000,'Movimentações'!$B$5:$B$5000,A81,'Movimentações'!$D$5:$D$5000,"Entrada"))</f>
        <v/>
      </c>
      <c r="J81" s="16">
        <f>IF(A81="","",SUMIFS('Movimentações'!$E$5:$E$5000,'Movimentações'!$B$5:$B$5000,A81,'Movimentações'!$D$5:$D$5000,"Saída"))</f>
        <v/>
      </c>
      <c r="K81" s="16">
        <f>IF(A81="","",G81+I81-J81)</f>
        <v/>
      </c>
      <c r="L81" s="14">
        <f>IF(A81="","",IF(K81&lt;=0,"SEM ESTOQUE",IF(K81&lt;=H81,"REPOR","OK")))</f>
        <v/>
      </c>
      <c r="M81" s="15">
        <f>IF(A81="","",MAX(K81,0)*E81)</f>
        <v/>
      </c>
      <c r="N81" s="16">
        <f>IF(A81="","",IF(K81&lt;=H81,MAX(2*H81-K81,0),0))</f>
        <v/>
      </c>
      <c r="O81" s="17">
        <f>IF(OR(A81="",F81=0,F81=""),"",(F81-E81)/F81)</f>
        <v/>
      </c>
    </row>
    <row r="82">
      <c r="A82" s="14" t="n"/>
      <c r="B82" s="14" t="n"/>
      <c r="C82" s="14" t="n"/>
      <c r="D82" s="14" t="n"/>
      <c r="E82" s="15" t="n"/>
      <c r="F82" s="15" t="n"/>
      <c r="G82" s="16" t="n"/>
      <c r="H82" s="16" t="n"/>
      <c r="I82" s="16">
        <f>IF(A82="","",SUMIFS('Movimentações'!$E$5:$E$5000,'Movimentações'!$B$5:$B$5000,A82,'Movimentações'!$D$5:$D$5000,"Entrada"))</f>
        <v/>
      </c>
      <c r="J82" s="16">
        <f>IF(A82="","",SUMIFS('Movimentações'!$E$5:$E$5000,'Movimentações'!$B$5:$B$5000,A82,'Movimentações'!$D$5:$D$5000,"Saída"))</f>
        <v/>
      </c>
      <c r="K82" s="16">
        <f>IF(A82="","",G82+I82-J82)</f>
        <v/>
      </c>
      <c r="L82" s="14">
        <f>IF(A82="","",IF(K82&lt;=0,"SEM ESTOQUE",IF(K82&lt;=H82,"REPOR","OK")))</f>
        <v/>
      </c>
      <c r="M82" s="15">
        <f>IF(A82="","",MAX(K82,0)*E82)</f>
        <v/>
      </c>
      <c r="N82" s="16">
        <f>IF(A82="","",IF(K82&lt;=H82,MAX(2*H82-K82,0),0))</f>
        <v/>
      </c>
      <c r="O82" s="17">
        <f>IF(OR(A82="",F82=0,F82=""),"",(F82-E82)/F82)</f>
        <v/>
      </c>
    </row>
    <row r="83">
      <c r="A83" s="14" t="n"/>
      <c r="B83" s="14" t="n"/>
      <c r="C83" s="14" t="n"/>
      <c r="D83" s="14" t="n"/>
      <c r="E83" s="15" t="n"/>
      <c r="F83" s="15" t="n"/>
      <c r="G83" s="16" t="n"/>
      <c r="H83" s="16" t="n"/>
      <c r="I83" s="16">
        <f>IF(A83="","",SUMIFS('Movimentações'!$E$5:$E$5000,'Movimentações'!$B$5:$B$5000,A83,'Movimentações'!$D$5:$D$5000,"Entrada"))</f>
        <v/>
      </c>
      <c r="J83" s="16">
        <f>IF(A83="","",SUMIFS('Movimentações'!$E$5:$E$5000,'Movimentações'!$B$5:$B$5000,A83,'Movimentações'!$D$5:$D$5000,"Saída"))</f>
        <v/>
      </c>
      <c r="K83" s="16">
        <f>IF(A83="","",G83+I83-J83)</f>
        <v/>
      </c>
      <c r="L83" s="14">
        <f>IF(A83="","",IF(K83&lt;=0,"SEM ESTOQUE",IF(K83&lt;=H83,"REPOR","OK")))</f>
        <v/>
      </c>
      <c r="M83" s="15">
        <f>IF(A83="","",MAX(K83,0)*E83)</f>
        <v/>
      </c>
      <c r="N83" s="16">
        <f>IF(A83="","",IF(K83&lt;=H83,MAX(2*H83-K83,0),0))</f>
        <v/>
      </c>
      <c r="O83" s="17">
        <f>IF(OR(A83="",F83=0,F83=""),"",(F83-E83)/F83)</f>
        <v/>
      </c>
    </row>
    <row r="84">
      <c r="A84" s="14" t="n"/>
      <c r="B84" s="14" t="n"/>
      <c r="C84" s="14" t="n"/>
      <c r="D84" s="14" t="n"/>
      <c r="E84" s="15" t="n"/>
      <c r="F84" s="15" t="n"/>
      <c r="G84" s="16" t="n"/>
      <c r="H84" s="16" t="n"/>
      <c r="I84" s="16">
        <f>IF(A84="","",SUMIFS('Movimentações'!$E$5:$E$5000,'Movimentações'!$B$5:$B$5000,A84,'Movimentações'!$D$5:$D$5000,"Entrada"))</f>
        <v/>
      </c>
      <c r="J84" s="16">
        <f>IF(A84="","",SUMIFS('Movimentações'!$E$5:$E$5000,'Movimentações'!$B$5:$B$5000,A84,'Movimentações'!$D$5:$D$5000,"Saída"))</f>
        <v/>
      </c>
      <c r="K84" s="16">
        <f>IF(A84="","",G84+I84-J84)</f>
        <v/>
      </c>
      <c r="L84" s="14">
        <f>IF(A84="","",IF(K84&lt;=0,"SEM ESTOQUE",IF(K84&lt;=H84,"REPOR","OK")))</f>
        <v/>
      </c>
      <c r="M84" s="15">
        <f>IF(A84="","",MAX(K84,0)*E84)</f>
        <v/>
      </c>
      <c r="N84" s="16">
        <f>IF(A84="","",IF(K84&lt;=H84,MAX(2*H84-K84,0),0))</f>
        <v/>
      </c>
      <c r="O84" s="17">
        <f>IF(OR(A84="",F84=0,F84=""),"",(F84-E84)/F84)</f>
        <v/>
      </c>
    </row>
    <row r="85">
      <c r="A85" s="14" t="n"/>
      <c r="B85" s="14" t="n"/>
      <c r="C85" s="14" t="n"/>
      <c r="D85" s="14" t="n"/>
      <c r="E85" s="15" t="n"/>
      <c r="F85" s="15" t="n"/>
      <c r="G85" s="16" t="n"/>
      <c r="H85" s="16" t="n"/>
      <c r="I85" s="16">
        <f>IF(A85="","",SUMIFS('Movimentações'!$E$5:$E$5000,'Movimentações'!$B$5:$B$5000,A85,'Movimentações'!$D$5:$D$5000,"Entrada"))</f>
        <v/>
      </c>
      <c r="J85" s="16">
        <f>IF(A85="","",SUMIFS('Movimentações'!$E$5:$E$5000,'Movimentações'!$B$5:$B$5000,A85,'Movimentações'!$D$5:$D$5000,"Saída"))</f>
        <v/>
      </c>
      <c r="K85" s="16">
        <f>IF(A85="","",G85+I85-J85)</f>
        <v/>
      </c>
      <c r="L85" s="14">
        <f>IF(A85="","",IF(K85&lt;=0,"SEM ESTOQUE",IF(K85&lt;=H85,"REPOR","OK")))</f>
        <v/>
      </c>
      <c r="M85" s="15">
        <f>IF(A85="","",MAX(K85,0)*E85)</f>
        <v/>
      </c>
      <c r="N85" s="16">
        <f>IF(A85="","",IF(K85&lt;=H85,MAX(2*H85-K85,0),0))</f>
        <v/>
      </c>
      <c r="O85" s="17">
        <f>IF(OR(A85="",F85=0,F85=""),"",(F85-E85)/F85)</f>
        <v/>
      </c>
    </row>
    <row r="86">
      <c r="A86" s="14" t="n"/>
      <c r="B86" s="14" t="n"/>
      <c r="C86" s="14" t="n"/>
      <c r="D86" s="14" t="n"/>
      <c r="E86" s="15" t="n"/>
      <c r="F86" s="15" t="n"/>
      <c r="G86" s="16" t="n"/>
      <c r="H86" s="16" t="n"/>
      <c r="I86" s="16">
        <f>IF(A86="","",SUMIFS('Movimentações'!$E$5:$E$5000,'Movimentações'!$B$5:$B$5000,A86,'Movimentações'!$D$5:$D$5000,"Entrada"))</f>
        <v/>
      </c>
      <c r="J86" s="16">
        <f>IF(A86="","",SUMIFS('Movimentações'!$E$5:$E$5000,'Movimentações'!$B$5:$B$5000,A86,'Movimentações'!$D$5:$D$5000,"Saída"))</f>
        <v/>
      </c>
      <c r="K86" s="16">
        <f>IF(A86="","",G86+I86-J86)</f>
        <v/>
      </c>
      <c r="L86" s="14">
        <f>IF(A86="","",IF(K86&lt;=0,"SEM ESTOQUE",IF(K86&lt;=H86,"REPOR","OK")))</f>
        <v/>
      </c>
      <c r="M86" s="15">
        <f>IF(A86="","",MAX(K86,0)*E86)</f>
        <v/>
      </c>
      <c r="N86" s="16">
        <f>IF(A86="","",IF(K86&lt;=H86,MAX(2*H86-K86,0),0))</f>
        <v/>
      </c>
      <c r="O86" s="17">
        <f>IF(OR(A86="",F86=0,F86=""),"",(F86-E86)/F86)</f>
        <v/>
      </c>
    </row>
    <row r="87">
      <c r="A87" s="14" t="n"/>
      <c r="B87" s="14" t="n"/>
      <c r="C87" s="14" t="n"/>
      <c r="D87" s="14" t="n"/>
      <c r="E87" s="15" t="n"/>
      <c r="F87" s="15" t="n"/>
      <c r="G87" s="16" t="n"/>
      <c r="H87" s="16" t="n"/>
      <c r="I87" s="16">
        <f>IF(A87="","",SUMIFS('Movimentações'!$E$5:$E$5000,'Movimentações'!$B$5:$B$5000,A87,'Movimentações'!$D$5:$D$5000,"Entrada"))</f>
        <v/>
      </c>
      <c r="J87" s="16">
        <f>IF(A87="","",SUMIFS('Movimentações'!$E$5:$E$5000,'Movimentações'!$B$5:$B$5000,A87,'Movimentações'!$D$5:$D$5000,"Saída"))</f>
        <v/>
      </c>
      <c r="K87" s="16">
        <f>IF(A87="","",G87+I87-J87)</f>
        <v/>
      </c>
      <c r="L87" s="14">
        <f>IF(A87="","",IF(K87&lt;=0,"SEM ESTOQUE",IF(K87&lt;=H87,"REPOR","OK")))</f>
        <v/>
      </c>
      <c r="M87" s="15">
        <f>IF(A87="","",MAX(K87,0)*E87)</f>
        <v/>
      </c>
      <c r="N87" s="16">
        <f>IF(A87="","",IF(K87&lt;=H87,MAX(2*H87-K87,0),0))</f>
        <v/>
      </c>
      <c r="O87" s="17">
        <f>IF(OR(A87="",F87=0,F87=""),"",(F87-E87)/F87)</f>
        <v/>
      </c>
    </row>
    <row r="88">
      <c r="A88" s="14" t="n"/>
      <c r="B88" s="14" t="n"/>
      <c r="C88" s="14" t="n"/>
      <c r="D88" s="14" t="n"/>
      <c r="E88" s="15" t="n"/>
      <c r="F88" s="15" t="n"/>
      <c r="G88" s="16" t="n"/>
      <c r="H88" s="16" t="n"/>
      <c r="I88" s="16">
        <f>IF(A88="","",SUMIFS('Movimentações'!$E$5:$E$5000,'Movimentações'!$B$5:$B$5000,A88,'Movimentações'!$D$5:$D$5000,"Entrada"))</f>
        <v/>
      </c>
      <c r="J88" s="16">
        <f>IF(A88="","",SUMIFS('Movimentações'!$E$5:$E$5000,'Movimentações'!$B$5:$B$5000,A88,'Movimentações'!$D$5:$D$5000,"Saída"))</f>
        <v/>
      </c>
      <c r="K88" s="16">
        <f>IF(A88="","",G88+I88-J88)</f>
        <v/>
      </c>
      <c r="L88" s="14">
        <f>IF(A88="","",IF(K88&lt;=0,"SEM ESTOQUE",IF(K88&lt;=H88,"REPOR","OK")))</f>
        <v/>
      </c>
      <c r="M88" s="15">
        <f>IF(A88="","",MAX(K88,0)*E88)</f>
        <v/>
      </c>
      <c r="N88" s="16">
        <f>IF(A88="","",IF(K88&lt;=H88,MAX(2*H88-K88,0),0))</f>
        <v/>
      </c>
      <c r="O88" s="17">
        <f>IF(OR(A88="",F88=0,F88=""),"",(F88-E88)/F88)</f>
        <v/>
      </c>
    </row>
    <row r="89">
      <c r="A89" s="14" t="n"/>
      <c r="B89" s="14" t="n"/>
      <c r="C89" s="14" t="n"/>
      <c r="D89" s="14" t="n"/>
      <c r="E89" s="15" t="n"/>
      <c r="F89" s="15" t="n"/>
      <c r="G89" s="16" t="n"/>
      <c r="H89" s="16" t="n"/>
      <c r="I89" s="16">
        <f>IF(A89="","",SUMIFS('Movimentações'!$E$5:$E$5000,'Movimentações'!$B$5:$B$5000,A89,'Movimentações'!$D$5:$D$5000,"Entrada"))</f>
        <v/>
      </c>
      <c r="J89" s="16">
        <f>IF(A89="","",SUMIFS('Movimentações'!$E$5:$E$5000,'Movimentações'!$B$5:$B$5000,A89,'Movimentações'!$D$5:$D$5000,"Saída"))</f>
        <v/>
      </c>
      <c r="K89" s="16">
        <f>IF(A89="","",G89+I89-J89)</f>
        <v/>
      </c>
      <c r="L89" s="14">
        <f>IF(A89="","",IF(K89&lt;=0,"SEM ESTOQUE",IF(K89&lt;=H89,"REPOR","OK")))</f>
        <v/>
      </c>
      <c r="M89" s="15">
        <f>IF(A89="","",MAX(K89,0)*E89)</f>
        <v/>
      </c>
      <c r="N89" s="16">
        <f>IF(A89="","",IF(K89&lt;=H89,MAX(2*H89-K89,0),0))</f>
        <v/>
      </c>
      <c r="O89" s="17">
        <f>IF(OR(A89="",F89=0,F89=""),"",(F89-E89)/F89)</f>
        <v/>
      </c>
    </row>
    <row r="90">
      <c r="A90" s="14" t="n"/>
      <c r="B90" s="14" t="n"/>
      <c r="C90" s="14" t="n"/>
      <c r="D90" s="14" t="n"/>
      <c r="E90" s="15" t="n"/>
      <c r="F90" s="15" t="n"/>
      <c r="G90" s="16" t="n"/>
      <c r="H90" s="16" t="n"/>
      <c r="I90" s="16">
        <f>IF(A90="","",SUMIFS('Movimentações'!$E$5:$E$5000,'Movimentações'!$B$5:$B$5000,A90,'Movimentações'!$D$5:$D$5000,"Entrada"))</f>
        <v/>
      </c>
      <c r="J90" s="16">
        <f>IF(A90="","",SUMIFS('Movimentações'!$E$5:$E$5000,'Movimentações'!$B$5:$B$5000,A90,'Movimentações'!$D$5:$D$5000,"Saída"))</f>
        <v/>
      </c>
      <c r="K90" s="16">
        <f>IF(A90="","",G90+I90-J90)</f>
        <v/>
      </c>
      <c r="L90" s="14">
        <f>IF(A90="","",IF(K90&lt;=0,"SEM ESTOQUE",IF(K90&lt;=H90,"REPOR","OK")))</f>
        <v/>
      </c>
      <c r="M90" s="15">
        <f>IF(A90="","",MAX(K90,0)*E90)</f>
        <v/>
      </c>
      <c r="N90" s="16">
        <f>IF(A90="","",IF(K90&lt;=H90,MAX(2*H90-K90,0),0))</f>
        <v/>
      </c>
      <c r="O90" s="17">
        <f>IF(OR(A90="",F90=0,F90=""),"",(F90-E90)/F90)</f>
        <v/>
      </c>
    </row>
    <row r="91">
      <c r="A91" s="14" t="n"/>
      <c r="B91" s="14" t="n"/>
      <c r="C91" s="14" t="n"/>
      <c r="D91" s="14" t="n"/>
      <c r="E91" s="15" t="n"/>
      <c r="F91" s="15" t="n"/>
      <c r="G91" s="16" t="n"/>
      <c r="H91" s="16" t="n"/>
      <c r="I91" s="16">
        <f>IF(A91="","",SUMIFS('Movimentações'!$E$5:$E$5000,'Movimentações'!$B$5:$B$5000,A91,'Movimentações'!$D$5:$D$5000,"Entrada"))</f>
        <v/>
      </c>
      <c r="J91" s="16">
        <f>IF(A91="","",SUMIFS('Movimentações'!$E$5:$E$5000,'Movimentações'!$B$5:$B$5000,A91,'Movimentações'!$D$5:$D$5000,"Saída"))</f>
        <v/>
      </c>
      <c r="K91" s="16">
        <f>IF(A91="","",G91+I91-J91)</f>
        <v/>
      </c>
      <c r="L91" s="14">
        <f>IF(A91="","",IF(K91&lt;=0,"SEM ESTOQUE",IF(K91&lt;=H91,"REPOR","OK")))</f>
        <v/>
      </c>
      <c r="M91" s="15">
        <f>IF(A91="","",MAX(K91,0)*E91)</f>
        <v/>
      </c>
      <c r="N91" s="16">
        <f>IF(A91="","",IF(K91&lt;=H91,MAX(2*H91-K91,0),0))</f>
        <v/>
      </c>
      <c r="O91" s="17">
        <f>IF(OR(A91="",F91=0,F91=""),"",(F91-E91)/F91)</f>
        <v/>
      </c>
    </row>
    <row r="92">
      <c r="A92" s="14" t="n"/>
      <c r="B92" s="14" t="n"/>
      <c r="C92" s="14" t="n"/>
      <c r="D92" s="14" t="n"/>
      <c r="E92" s="15" t="n"/>
      <c r="F92" s="15" t="n"/>
      <c r="G92" s="16" t="n"/>
      <c r="H92" s="16" t="n"/>
      <c r="I92" s="16">
        <f>IF(A92="","",SUMIFS('Movimentações'!$E$5:$E$5000,'Movimentações'!$B$5:$B$5000,A92,'Movimentações'!$D$5:$D$5000,"Entrada"))</f>
        <v/>
      </c>
      <c r="J92" s="16">
        <f>IF(A92="","",SUMIFS('Movimentações'!$E$5:$E$5000,'Movimentações'!$B$5:$B$5000,A92,'Movimentações'!$D$5:$D$5000,"Saída"))</f>
        <v/>
      </c>
      <c r="K92" s="16">
        <f>IF(A92="","",G92+I92-J92)</f>
        <v/>
      </c>
      <c r="L92" s="14">
        <f>IF(A92="","",IF(K92&lt;=0,"SEM ESTOQUE",IF(K92&lt;=H92,"REPOR","OK")))</f>
        <v/>
      </c>
      <c r="M92" s="15">
        <f>IF(A92="","",MAX(K92,0)*E92)</f>
        <v/>
      </c>
      <c r="N92" s="16">
        <f>IF(A92="","",IF(K92&lt;=H92,MAX(2*H92-K92,0),0))</f>
        <v/>
      </c>
      <c r="O92" s="17">
        <f>IF(OR(A92="",F92=0,F92=""),"",(F92-E92)/F92)</f>
        <v/>
      </c>
    </row>
    <row r="93">
      <c r="A93" s="14" t="n"/>
      <c r="B93" s="14" t="n"/>
      <c r="C93" s="14" t="n"/>
      <c r="D93" s="14" t="n"/>
      <c r="E93" s="15" t="n"/>
      <c r="F93" s="15" t="n"/>
      <c r="G93" s="16" t="n"/>
      <c r="H93" s="16" t="n"/>
      <c r="I93" s="16">
        <f>IF(A93="","",SUMIFS('Movimentações'!$E$5:$E$5000,'Movimentações'!$B$5:$B$5000,A93,'Movimentações'!$D$5:$D$5000,"Entrada"))</f>
        <v/>
      </c>
      <c r="J93" s="16">
        <f>IF(A93="","",SUMIFS('Movimentações'!$E$5:$E$5000,'Movimentações'!$B$5:$B$5000,A93,'Movimentações'!$D$5:$D$5000,"Saída"))</f>
        <v/>
      </c>
      <c r="K93" s="16">
        <f>IF(A93="","",G93+I93-J93)</f>
        <v/>
      </c>
      <c r="L93" s="14">
        <f>IF(A93="","",IF(K93&lt;=0,"SEM ESTOQUE",IF(K93&lt;=H93,"REPOR","OK")))</f>
        <v/>
      </c>
      <c r="M93" s="15">
        <f>IF(A93="","",MAX(K93,0)*E93)</f>
        <v/>
      </c>
      <c r="N93" s="16">
        <f>IF(A93="","",IF(K93&lt;=H93,MAX(2*H93-K93,0),0))</f>
        <v/>
      </c>
      <c r="O93" s="17">
        <f>IF(OR(A93="",F93=0,F93=""),"",(F93-E93)/F93)</f>
        <v/>
      </c>
    </row>
    <row r="94">
      <c r="A94" s="14" t="n"/>
      <c r="B94" s="14" t="n"/>
      <c r="C94" s="14" t="n"/>
      <c r="D94" s="14" t="n"/>
      <c r="E94" s="15" t="n"/>
      <c r="F94" s="15" t="n"/>
      <c r="G94" s="16" t="n"/>
      <c r="H94" s="16" t="n"/>
      <c r="I94" s="16">
        <f>IF(A94="","",SUMIFS('Movimentações'!$E$5:$E$5000,'Movimentações'!$B$5:$B$5000,A94,'Movimentações'!$D$5:$D$5000,"Entrada"))</f>
        <v/>
      </c>
      <c r="J94" s="16">
        <f>IF(A94="","",SUMIFS('Movimentações'!$E$5:$E$5000,'Movimentações'!$B$5:$B$5000,A94,'Movimentações'!$D$5:$D$5000,"Saída"))</f>
        <v/>
      </c>
      <c r="K94" s="16">
        <f>IF(A94="","",G94+I94-J94)</f>
        <v/>
      </c>
      <c r="L94" s="14">
        <f>IF(A94="","",IF(K94&lt;=0,"SEM ESTOQUE",IF(K94&lt;=H94,"REPOR","OK")))</f>
        <v/>
      </c>
      <c r="M94" s="15">
        <f>IF(A94="","",MAX(K94,0)*E94)</f>
        <v/>
      </c>
      <c r="N94" s="16">
        <f>IF(A94="","",IF(K94&lt;=H94,MAX(2*H94-K94,0),0))</f>
        <v/>
      </c>
      <c r="O94" s="17">
        <f>IF(OR(A94="",F94=0,F94=""),"",(F94-E94)/F94)</f>
        <v/>
      </c>
    </row>
    <row r="95">
      <c r="A95" s="14" t="n"/>
      <c r="B95" s="14" t="n"/>
      <c r="C95" s="14" t="n"/>
      <c r="D95" s="14" t="n"/>
      <c r="E95" s="15" t="n"/>
      <c r="F95" s="15" t="n"/>
      <c r="G95" s="16" t="n"/>
      <c r="H95" s="16" t="n"/>
      <c r="I95" s="16">
        <f>IF(A95="","",SUMIFS('Movimentações'!$E$5:$E$5000,'Movimentações'!$B$5:$B$5000,A95,'Movimentações'!$D$5:$D$5000,"Entrada"))</f>
        <v/>
      </c>
      <c r="J95" s="16">
        <f>IF(A95="","",SUMIFS('Movimentações'!$E$5:$E$5000,'Movimentações'!$B$5:$B$5000,A95,'Movimentações'!$D$5:$D$5000,"Saída"))</f>
        <v/>
      </c>
      <c r="K95" s="16">
        <f>IF(A95="","",G95+I95-J95)</f>
        <v/>
      </c>
      <c r="L95" s="14">
        <f>IF(A95="","",IF(K95&lt;=0,"SEM ESTOQUE",IF(K95&lt;=H95,"REPOR","OK")))</f>
        <v/>
      </c>
      <c r="M95" s="15">
        <f>IF(A95="","",MAX(K95,0)*E95)</f>
        <v/>
      </c>
      <c r="N95" s="16">
        <f>IF(A95="","",IF(K95&lt;=H95,MAX(2*H95-K95,0),0))</f>
        <v/>
      </c>
      <c r="O95" s="17">
        <f>IF(OR(A95="",F95=0,F95=""),"",(F95-E95)/F95)</f>
        <v/>
      </c>
    </row>
    <row r="96">
      <c r="A96" s="14" t="n"/>
      <c r="B96" s="14" t="n"/>
      <c r="C96" s="14" t="n"/>
      <c r="D96" s="14" t="n"/>
      <c r="E96" s="15" t="n"/>
      <c r="F96" s="15" t="n"/>
      <c r="G96" s="16" t="n"/>
      <c r="H96" s="16" t="n"/>
      <c r="I96" s="16">
        <f>IF(A96="","",SUMIFS('Movimentações'!$E$5:$E$5000,'Movimentações'!$B$5:$B$5000,A96,'Movimentações'!$D$5:$D$5000,"Entrada"))</f>
        <v/>
      </c>
      <c r="J96" s="16">
        <f>IF(A96="","",SUMIFS('Movimentações'!$E$5:$E$5000,'Movimentações'!$B$5:$B$5000,A96,'Movimentações'!$D$5:$D$5000,"Saída"))</f>
        <v/>
      </c>
      <c r="K96" s="16">
        <f>IF(A96="","",G96+I96-J96)</f>
        <v/>
      </c>
      <c r="L96" s="14">
        <f>IF(A96="","",IF(K96&lt;=0,"SEM ESTOQUE",IF(K96&lt;=H96,"REPOR","OK")))</f>
        <v/>
      </c>
      <c r="M96" s="15">
        <f>IF(A96="","",MAX(K96,0)*E96)</f>
        <v/>
      </c>
      <c r="N96" s="16">
        <f>IF(A96="","",IF(K96&lt;=H96,MAX(2*H96-K96,0),0))</f>
        <v/>
      </c>
      <c r="O96" s="17">
        <f>IF(OR(A96="",F96=0,F96=""),"",(F96-E96)/F96)</f>
        <v/>
      </c>
    </row>
    <row r="97">
      <c r="A97" s="14" t="n"/>
      <c r="B97" s="14" t="n"/>
      <c r="C97" s="14" t="n"/>
      <c r="D97" s="14" t="n"/>
      <c r="E97" s="15" t="n"/>
      <c r="F97" s="15" t="n"/>
      <c r="G97" s="16" t="n"/>
      <c r="H97" s="16" t="n"/>
      <c r="I97" s="16">
        <f>IF(A97="","",SUMIFS('Movimentações'!$E$5:$E$5000,'Movimentações'!$B$5:$B$5000,A97,'Movimentações'!$D$5:$D$5000,"Entrada"))</f>
        <v/>
      </c>
      <c r="J97" s="16">
        <f>IF(A97="","",SUMIFS('Movimentações'!$E$5:$E$5000,'Movimentações'!$B$5:$B$5000,A97,'Movimentações'!$D$5:$D$5000,"Saída"))</f>
        <v/>
      </c>
      <c r="K97" s="16">
        <f>IF(A97="","",G97+I97-J97)</f>
        <v/>
      </c>
      <c r="L97" s="14">
        <f>IF(A97="","",IF(K97&lt;=0,"SEM ESTOQUE",IF(K97&lt;=H97,"REPOR","OK")))</f>
        <v/>
      </c>
      <c r="M97" s="15">
        <f>IF(A97="","",MAX(K97,0)*E97)</f>
        <v/>
      </c>
      <c r="N97" s="16">
        <f>IF(A97="","",IF(K97&lt;=H97,MAX(2*H97-K97,0),0))</f>
        <v/>
      </c>
      <c r="O97" s="17">
        <f>IF(OR(A97="",F97=0,F97=""),"",(F97-E97)/F97)</f>
        <v/>
      </c>
    </row>
    <row r="98">
      <c r="A98" s="14" t="n"/>
      <c r="B98" s="14" t="n"/>
      <c r="C98" s="14" t="n"/>
      <c r="D98" s="14" t="n"/>
      <c r="E98" s="15" t="n"/>
      <c r="F98" s="15" t="n"/>
      <c r="G98" s="16" t="n"/>
      <c r="H98" s="16" t="n"/>
      <c r="I98" s="16">
        <f>IF(A98="","",SUMIFS('Movimentações'!$E$5:$E$5000,'Movimentações'!$B$5:$B$5000,A98,'Movimentações'!$D$5:$D$5000,"Entrada"))</f>
        <v/>
      </c>
      <c r="J98" s="16">
        <f>IF(A98="","",SUMIFS('Movimentações'!$E$5:$E$5000,'Movimentações'!$B$5:$B$5000,A98,'Movimentações'!$D$5:$D$5000,"Saída"))</f>
        <v/>
      </c>
      <c r="K98" s="16">
        <f>IF(A98="","",G98+I98-J98)</f>
        <v/>
      </c>
      <c r="L98" s="14">
        <f>IF(A98="","",IF(K98&lt;=0,"SEM ESTOQUE",IF(K98&lt;=H98,"REPOR","OK")))</f>
        <v/>
      </c>
      <c r="M98" s="15">
        <f>IF(A98="","",MAX(K98,0)*E98)</f>
        <v/>
      </c>
      <c r="N98" s="16">
        <f>IF(A98="","",IF(K98&lt;=H98,MAX(2*H98-K98,0),0))</f>
        <v/>
      </c>
      <c r="O98" s="17">
        <f>IF(OR(A98="",F98=0,F98=""),"",(F98-E98)/F98)</f>
        <v/>
      </c>
    </row>
    <row r="99">
      <c r="A99" s="14" t="n"/>
      <c r="B99" s="14" t="n"/>
      <c r="C99" s="14" t="n"/>
      <c r="D99" s="14" t="n"/>
      <c r="E99" s="15" t="n"/>
      <c r="F99" s="15" t="n"/>
      <c r="G99" s="16" t="n"/>
      <c r="H99" s="16" t="n"/>
      <c r="I99" s="16">
        <f>IF(A99="","",SUMIFS('Movimentações'!$E$5:$E$5000,'Movimentações'!$B$5:$B$5000,A99,'Movimentações'!$D$5:$D$5000,"Entrada"))</f>
        <v/>
      </c>
      <c r="J99" s="16">
        <f>IF(A99="","",SUMIFS('Movimentações'!$E$5:$E$5000,'Movimentações'!$B$5:$B$5000,A99,'Movimentações'!$D$5:$D$5000,"Saída"))</f>
        <v/>
      </c>
      <c r="K99" s="16">
        <f>IF(A99="","",G99+I99-J99)</f>
        <v/>
      </c>
      <c r="L99" s="14">
        <f>IF(A99="","",IF(K99&lt;=0,"SEM ESTOQUE",IF(K99&lt;=H99,"REPOR","OK")))</f>
        <v/>
      </c>
      <c r="M99" s="15">
        <f>IF(A99="","",MAX(K99,0)*E99)</f>
        <v/>
      </c>
      <c r="N99" s="16">
        <f>IF(A99="","",IF(K99&lt;=H99,MAX(2*H99-K99,0),0))</f>
        <v/>
      </c>
      <c r="O99" s="17">
        <f>IF(OR(A99="",F99=0,F99=""),"",(F99-E99)/F99)</f>
        <v/>
      </c>
    </row>
    <row r="100">
      <c r="A100" s="14" t="n"/>
      <c r="B100" s="14" t="n"/>
      <c r="C100" s="14" t="n"/>
      <c r="D100" s="14" t="n"/>
      <c r="E100" s="15" t="n"/>
      <c r="F100" s="15" t="n"/>
      <c r="G100" s="16" t="n"/>
      <c r="H100" s="16" t="n"/>
      <c r="I100" s="16">
        <f>IF(A100="","",SUMIFS('Movimentações'!$E$5:$E$5000,'Movimentações'!$B$5:$B$5000,A100,'Movimentações'!$D$5:$D$5000,"Entrada"))</f>
        <v/>
      </c>
      <c r="J100" s="16">
        <f>IF(A100="","",SUMIFS('Movimentações'!$E$5:$E$5000,'Movimentações'!$B$5:$B$5000,A100,'Movimentações'!$D$5:$D$5000,"Saída"))</f>
        <v/>
      </c>
      <c r="K100" s="16">
        <f>IF(A100="","",G100+I100-J100)</f>
        <v/>
      </c>
      <c r="L100" s="14">
        <f>IF(A100="","",IF(K100&lt;=0,"SEM ESTOQUE",IF(K100&lt;=H100,"REPOR","OK")))</f>
        <v/>
      </c>
      <c r="M100" s="15">
        <f>IF(A100="","",MAX(K100,0)*E100)</f>
        <v/>
      </c>
      <c r="N100" s="16">
        <f>IF(A100="","",IF(K100&lt;=H100,MAX(2*H100-K100,0),0))</f>
        <v/>
      </c>
      <c r="O100" s="17">
        <f>IF(OR(A100="",F100=0,F100=""),"",(F100-E100)/F100)</f>
        <v/>
      </c>
    </row>
    <row r="101">
      <c r="A101" s="14" t="n"/>
      <c r="B101" s="14" t="n"/>
      <c r="C101" s="14" t="n"/>
      <c r="D101" s="14" t="n"/>
      <c r="E101" s="15" t="n"/>
      <c r="F101" s="15" t="n"/>
      <c r="G101" s="16" t="n"/>
      <c r="H101" s="16" t="n"/>
      <c r="I101" s="16">
        <f>IF(A101="","",SUMIFS('Movimentações'!$E$5:$E$5000,'Movimentações'!$B$5:$B$5000,A101,'Movimentações'!$D$5:$D$5000,"Entrada"))</f>
        <v/>
      </c>
      <c r="J101" s="16">
        <f>IF(A101="","",SUMIFS('Movimentações'!$E$5:$E$5000,'Movimentações'!$B$5:$B$5000,A101,'Movimentações'!$D$5:$D$5000,"Saída"))</f>
        <v/>
      </c>
      <c r="K101" s="16">
        <f>IF(A101="","",G101+I101-J101)</f>
        <v/>
      </c>
      <c r="L101" s="14">
        <f>IF(A101="","",IF(K101&lt;=0,"SEM ESTOQUE",IF(K101&lt;=H101,"REPOR","OK")))</f>
        <v/>
      </c>
      <c r="M101" s="15">
        <f>IF(A101="","",MAX(K101,0)*E101)</f>
        <v/>
      </c>
      <c r="N101" s="16">
        <f>IF(A101="","",IF(K101&lt;=H101,MAX(2*H101-K101,0),0))</f>
        <v/>
      </c>
      <c r="O101" s="17">
        <f>IF(OR(A101="",F101=0,F101=""),"",(F101-E101)/F101)</f>
        <v/>
      </c>
    </row>
    <row r="102">
      <c r="A102" s="14" t="n"/>
      <c r="B102" s="14" t="n"/>
      <c r="C102" s="14" t="n"/>
      <c r="D102" s="14" t="n"/>
      <c r="E102" s="15" t="n"/>
      <c r="F102" s="15" t="n"/>
      <c r="G102" s="16" t="n"/>
      <c r="H102" s="16" t="n"/>
      <c r="I102" s="16">
        <f>IF(A102="","",SUMIFS('Movimentações'!$E$5:$E$5000,'Movimentações'!$B$5:$B$5000,A102,'Movimentações'!$D$5:$D$5000,"Entrada"))</f>
        <v/>
      </c>
      <c r="J102" s="16">
        <f>IF(A102="","",SUMIFS('Movimentações'!$E$5:$E$5000,'Movimentações'!$B$5:$B$5000,A102,'Movimentações'!$D$5:$D$5000,"Saída"))</f>
        <v/>
      </c>
      <c r="K102" s="16">
        <f>IF(A102="","",G102+I102-J102)</f>
        <v/>
      </c>
      <c r="L102" s="14">
        <f>IF(A102="","",IF(K102&lt;=0,"SEM ESTOQUE",IF(K102&lt;=H102,"REPOR","OK")))</f>
        <v/>
      </c>
      <c r="M102" s="15">
        <f>IF(A102="","",MAX(K102,0)*E102)</f>
        <v/>
      </c>
      <c r="N102" s="16">
        <f>IF(A102="","",IF(K102&lt;=H102,MAX(2*H102-K102,0),0))</f>
        <v/>
      </c>
      <c r="O102" s="17">
        <f>IF(OR(A102="",F102=0,F102=""),"",(F102-E102)/F102)</f>
        <v/>
      </c>
    </row>
    <row r="103">
      <c r="A103" s="14" t="n"/>
      <c r="B103" s="14" t="n"/>
      <c r="C103" s="14" t="n"/>
      <c r="D103" s="14" t="n"/>
      <c r="E103" s="15" t="n"/>
      <c r="F103" s="15" t="n"/>
      <c r="G103" s="16" t="n"/>
      <c r="H103" s="16" t="n"/>
      <c r="I103" s="16">
        <f>IF(A103="","",SUMIFS('Movimentações'!$E$5:$E$5000,'Movimentações'!$B$5:$B$5000,A103,'Movimentações'!$D$5:$D$5000,"Entrada"))</f>
        <v/>
      </c>
      <c r="J103" s="16">
        <f>IF(A103="","",SUMIFS('Movimentações'!$E$5:$E$5000,'Movimentações'!$B$5:$B$5000,A103,'Movimentações'!$D$5:$D$5000,"Saída"))</f>
        <v/>
      </c>
      <c r="K103" s="16">
        <f>IF(A103="","",G103+I103-J103)</f>
        <v/>
      </c>
      <c r="L103" s="14">
        <f>IF(A103="","",IF(K103&lt;=0,"SEM ESTOQUE",IF(K103&lt;=H103,"REPOR","OK")))</f>
        <v/>
      </c>
      <c r="M103" s="15">
        <f>IF(A103="","",MAX(K103,0)*E103)</f>
        <v/>
      </c>
      <c r="N103" s="16">
        <f>IF(A103="","",IF(K103&lt;=H103,MAX(2*H103-K103,0),0))</f>
        <v/>
      </c>
      <c r="O103" s="17">
        <f>IF(OR(A103="",F103=0,F103=""),"",(F103-E103)/F103)</f>
        <v/>
      </c>
    </row>
    <row r="104">
      <c r="A104" s="14" t="n"/>
      <c r="B104" s="14" t="n"/>
      <c r="C104" s="14" t="n"/>
      <c r="D104" s="14" t="n"/>
      <c r="E104" s="15" t="n"/>
      <c r="F104" s="15" t="n"/>
      <c r="G104" s="16" t="n"/>
      <c r="H104" s="16" t="n"/>
      <c r="I104" s="16">
        <f>IF(A104="","",SUMIFS('Movimentações'!$E$5:$E$5000,'Movimentações'!$B$5:$B$5000,A104,'Movimentações'!$D$5:$D$5000,"Entrada"))</f>
        <v/>
      </c>
      <c r="J104" s="16">
        <f>IF(A104="","",SUMIFS('Movimentações'!$E$5:$E$5000,'Movimentações'!$B$5:$B$5000,A104,'Movimentações'!$D$5:$D$5000,"Saída"))</f>
        <v/>
      </c>
      <c r="K104" s="16">
        <f>IF(A104="","",G104+I104-J104)</f>
        <v/>
      </c>
      <c r="L104" s="14">
        <f>IF(A104="","",IF(K104&lt;=0,"SEM ESTOQUE",IF(K104&lt;=H104,"REPOR","OK")))</f>
        <v/>
      </c>
      <c r="M104" s="15">
        <f>IF(A104="","",MAX(K104,0)*E104)</f>
        <v/>
      </c>
      <c r="N104" s="16">
        <f>IF(A104="","",IF(K104&lt;=H104,MAX(2*H104-K104,0),0))</f>
        <v/>
      </c>
      <c r="O104" s="17">
        <f>IF(OR(A104="",F104=0,F104=""),"",(F104-E104)/F104)</f>
        <v/>
      </c>
    </row>
    <row r="105">
      <c r="A105" s="14" t="n"/>
      <c r="B105" s="14" t="n"/>
      <c r="C105" s="14" t="n"/>
      <c r="D105" s="14" t="n"/>
      <c r="E105" s="15" t="n"/>
      <c r="F105" s="15" t="n"/>
      <c r="G105" s="16" t="n"/>
      <c r="H105" s="16" t="n"/>
      <c r="I105" s="16">
        <f>IF(A105="","",SUMIFS('Movimentações'!$E$5:$E$5000,'Movimentações'!$B$5:$B$5000,A105,'Movimentações'!$D$5:$D$5000,"Entrada"))</f>
        <v/>
      </c>
      <c r="J105" s="16">
        <f>IF(A105="","",SUMIFS('Movimentações'!$E$5:$E$5000,'Movimentações'!$B$5:$B$5000,A105,'Movimentações'!$D$5:$D$5000,"Saída"))</f>
        <v/>
      </c>
      <c r="K105" s="16">
        <f>IF(A105="","",G105+I105-J105)</f>
        <v/>
      </c>
      <c r="L105" s="14">
        <f>IF(A105="","",IF(K105&lt;=0,"SEM ESTOQUE",IF(K105&lt;=H105,"REPOR","OK")))</f>
        <v/>
      </c>
      <c r="M105" s="15">
        <f>IF(A105="","",MAX(K105,0)*E105)</f>
        <v/>
      </c>
      <c r="N105" s="16">
        <f>IF(A105="","",IF(K105&lt;=H105,MAX(2*H105-K105,0),0))</f>
        <v/>
      </c>
      <c r="O105" s="17">
        <f>IF(OR(A105="",F105=0,F105=""),"",(F105-E105)/F105)</f>
        <v/>
      </c>
    </row>
    <row r="106">
      <c r="A106" s="14" t="n"/>
      <c r="B106" s="14" t="n"/>
      <c r="C106" s="14" t="n"/>
      <c r="D106" s="14" t="n"/>
      <c r="E106" s="15" t="n"/>
      <c r="F106" s="15" t="n"/>
      <c r="G106" s="16" t="n"/>
      <c r="H106" s="16" t="n"/>
      <c r="I106" s="16">
        <f>IF(A106="","",SUMIFS('Movimentações'!$E$5:$E$5000,'Movimentações'!$B$5:$B$5000,A106,'Movimentações'!$D$5:$D$5000,"Entrada"))</f>
        <v/>
      </c>
      <c r="J106" s="16">
        <f>IF(A106="","",SUMIFS('Movimentações'!$E$5:$E$5000,'Movimentações'!$B$5:$B$5000,A106,'Movimentações'!$D$5:$D$5000,"Saída"))</f>
        <v/>
      </c>
      <c r="K106" s="16">
        <f>IF(A106="","",G106+I106-J106)</f>
        <v/>
      </c>
      <c r="L106" s="14">
        <f>IF(A106="","",IF(K106&lt;=0,"SEM ESTOQUE",IF(K106&lt;=H106,"REPOR","OK")))</f>
        <v/>
      </c>
      <c r="M106" s="15">
        <f>IF(A106="","",MAX(K106,0)*E106)</f>
        <v/>
      </c>
      <c r="N106" s="16">
        <f>IF(A106="","",IF(K106&lt;=H106,MAX(2*H106-K106,0),0))</f>
        <v/>
      </c>
      <c r="O106" s="17">
        <f>IF(OR(A106="",F106=0,F106=""),"",(F106-E106)/F106)</f>
        <v/>
      </c>
    </row>
    <row r="107">
      <c r="A107" s="14" t="n"/>
      <c r="B107" s="14" t="n"/>
      <c r="C107" s="14" t="n"/>
      <c r="D107" s="14" t="n"/>
      <c r="E107" s="15" t="n"/>
      <c r="F107" s="15" t="n"/>
      <c r="G107" s="16" t="n"/>
      <c r="H107" s="16" t="n"/>
      <c r="I107" s="16">
        <f>IF(A107="","",SUMIFS('Movimentações'!$E$5:$E$5000,'Movimentações'!$B$5:$B$5000,A107,'Movimentações'!$D$5:$D$5000,"Entrada"))</f>
        <v/>
      </c>
      <c r="J107" s="16">
        <f>IF(A107="","",SUMIFS('Movimentações'!$E$5:$E$5000,'Movimentações'!$B$5:$B$5000,A107,'Movimentações'!$D$5:$D$5000,"Saída"))</f>
        <v/>
      </c>
      <c r="K107" s="16">
        <f>IF(A107="","",G107+I107-J107)</f>
        <v/>
      </c>
      <c r="L107" s="14">
        <f>IF(A107="","",IF(K107&lt;=0,"SEM ESTOQUE",IF(K107&lt;=H107,"REPOR","OK")))</f>
        <v/>
      </c>
      <c r="M107" s="15">
        <f>IF(A107="","",MAX(K107,0)*E107)</f>
        <v/>
      </c>
      <c r="N107" s="16">
        <f>IF(A107="","",IF(K107&lt;=H107,MAX(2*H107-K107,0),0))</f>
        <v/>
      </c>
      <c r="O107" s="17">
        <f>IF(OR(A107="",F107=0,F107=""),"",(F107-E107)/F107)</f>
        <v/>
      </c>
    </row>
    <row r="108">
      <c r="A108" s="14" t="n"/>
      <c r="B108" s="14" t="n"/>
      <c r="C108" s="14" t="n"/>
      <c r="D108" s="14" t="n"/>
      <c r="E108" s="15" t="n"/>
      <c r="F108" s="15" t="n"/>
      <c r="G108" s="16" t="n"/>
      <c r="H108" s="16" t="n"/>
      <c r="I108" s="16">
        <f>IF(A108="","",SUMIFS('Movimentações'!$E$5:$E$5000,'Movimentações'!$B$5:$B$5000,A108,'Movimentações'!$D$5:$D$5000,"Entrada"))</f>
        <v/>
      </c>
      <c r="J108" s="16">
        <f>IF(A108="","",SUMIFS('Movimentações'!$E$5:$E$5000,'Movimentações'!$B$5:$B$5000,A108,'Movimentações'!$D$5:$D$5000,"Saída"))</f>
        <v/>
      </c>
      <c r="K108" s="16">
        <f>IF(A108="","",G108+I108-J108)</f>
        <v/>
      </c>
      <c r="L108" s="14">
        <f>IF(A108="","",IF(K108&lt;=0,"SEM ESTOQUE",IF(K108&lt;=H108,"REPOR","OK")))</f>
        <v/>
      </c>
      <c r="M108" s="15">
        <f>IF(A108="","",MAX(K108,0)*E108)</f>
        <v/>
      </c>
      <c r="N108" s="16">
        <f>IF(A108="","",IF(K108&lt;=H108,MAX(2*H108-K108,0),0))</f>
        <v/>
      </c>
      <c r="O108" s="17">
        <f>IF(OR(A108="",F108=0,F108=""),"",(F108-E108)/F108)</f>
        <v/>
      </c>
    </row>
    <row r="109">
      <c r="A109" s="14" t="n"/>
      <c r="B109" s="14" t="n"/>
      <c r="C109" s="14" t="n"/>
      <c r="D109" s="14" t="n"/>
      <c r="E109" s="15" t="n"/>
      <c r="F109" s="15" t="n"/>
      <c r="G109" s="16" t="n"/>
      <c r="H109" s="16" t="n"/>
      <c r="I109" s="16">
        <f>IF(A109="","",SUMIFS('Movimentações'!$E$5:$E$5000,'Movimentações'!$B$5:$B$5000,A109,'Movimentações'!$D$5:$D$5000,"Entrada"))</f>
        <v/>
      </c>
      <c r="J109" s="16">
        <f>IF(A109="","",SUMIFS('Movimentações'!$E$5:$E$5000,'Movimentações'!$B$5:$B$5000,A109,'Movimentações'!$D$5:$D$5000,"Saída"))</f>
        <v/>
      </c>
      <c r="K109" s="16">
        <f>IF(A109="","",G109+I109-J109)</f>
        <v/>
      </c>
      <c r="L109" s="14">
        <f>IF(A109="","",IF(K109&lt;=0,"SEM ESTOQUE",IF(K109&lt;=H109,"REPOR","OK")))</f>
        <v/>
      </c>
      <c r="M109" s="15">
        <f>IF(A109="","",MAX(K109,0)*E109)</f>
        <v/>
      </c>
      <c r="N109" s="16">
        <f>IF(A109="","",IF(K109&lt;=H109,MAX(2*H109-K109,0),0))</f>
        <v/>
      </c>
      <c r="O109" s="17">
        <f>IF(OR(A109="",F109=0,F109=""),"",(F109-E109)/F109)</f>
        <v/>
      </c>
    </row>
    <row r="110">
      <c r="A110" s="14" t="n"/>
      <c r="B110" s="14" t="n"/>
      <c r="C110" s="14" t="n"/>
      <c r="D110" s="14" t="n"/>
      <c r="E110" s="15" t="n"/>
      <c r="F110" s="15" t="n"/>
      <c r="G110" s="16" t="n"/>
      <c r="H110" s="16" t="n"/>
      <c r="I110" s="16">
        <f>IF(A110="","",SUMIFS('Movimentações'!$E$5:$E$5000,'Movimentações'!$B$5:$B$5000,A110,'Movimentações'!$D$5:$D$5000,"Entrada"))</f>
        <v/>
      </c>
      <c r="J110" s="16">
        <f>IF(A110="","",SUMIFS('Movimentações'!$E$5:$E$5000,'Movimentações'!$B$5:$B$5000,A110,'Movimentações'!$D$5:$D$5000,"Saída"))</f>
        <v/>
      </c>
      <c r="K110" s="16">
        <f>IF(A110="","",G110+I110-J110)</f>
        <v/>
      </c>
      <c r="L110" s="14">
        <f>IF(A110="","",IF(K110&lt;=0,"SEM ESTOQUE",IF(K110&lt;=H110,"REPOR","OK")))</f>
        <v/>
      </c>
      <c r="M110" s="15">
        <f>IF(A110="","",MAX(K110,0)*E110)</f>
        <v/>
      </c>
      <c r="N110" s="16">
        <f>IF(A110="","",IF(K110&lt;=H110,MAX(2*H110-K110,0),0))</f>
        <v/>
      </c>
      <c r="O110" s="17">
        <f>IF(OR(A110="",F110=0,F110=""),"",(F110-E110)/F110)</f>
        <v/>
      </c>
    </row>
    <row r="111">
      <c r="A111" s="14" t="n"/>
      <c r="B111" s="14" t="n"/>
      <c r="C111" s="14" t="n"/>
      <c r="D111" s="14" t="n"/>
      <c r="E111" s="15" t="n"/>
      <c r="F111" s="15" t="n"/>
      <c r="G111" s="16" t="n"/>
      <c r="H111" s="16" t="n"/>
      <c r="I111" s="16">
        <f>IF(A111="","",SUMIFS('Movimentações'!$E$5:$E$5000,'Movimentações'!$B$5:$B$5000,A111,'Movimentações'!$D$5:$D$5000,"Entrada"))</f>
        <v/>
      </c>
      <c r="J111" s="16">
        <f>IF(A111="","",SUMIFS('Movimentações'!$E$5:$E$5000,'Movimentações'!$B$5:$B$5000,A111,'Movimentações'!$D$5:$D$5000,"Saída"))</f>
        <v/>
      </c>
      <c r="K111" s="16">
        <f>IF(A111="","",G111+I111-J111)</f>
        <v/>
      </c>
      <c r="L111" s="14">
        <f>IF(A111="","",IF(K111&lt;=0,"SEM ESTOQUE",IF(K111&lt;=H111,"REPOR","OK")))</f>
        <v/>
      </c>
      <c r="M111" s="15">
        <f>IF(A111="","",MAX(K111,0)*E111)</f>
        <v/>
      </c>
      <c r="N111" s="16">
        <f>IF(A111="","",IF(K111&lt;=H111,MAX(2*H111-K111,0),0))</f>
        <v/>
      </c>
      <c r="O111" s="17">
        <f>IF(OR(A111="",F111=0,F111=""),"",(F111-E111)/F111)</f>
        <v/>
      </c>
    </row>
    <row r="112">
      <c r="A112" s="14" t="n"/>
      <c r="B112" s="14" t="n"/>
      <c r="C112" s="14" t="n"/>
      <c r="D112" s="14" t="n"/>
      <c r="E112" s="15" t="n"/>
      <c r="F112" s="15" t="n"/>
      <c r="G112" s="16" t="n"/>
      <c r="H112" s="16" t="n"/>
      <c r="I112" s="16">
        <f>IF(A112="","",SUMIFS('Movimentações'!$E$5:$E$5000,'Movimentações'!$B$5:$B$5000,A112,'Movimentações'!$D$5:$D$5000,"Entrada"))</f>
        <v/>
      </c>
      <c r="J112" s="16">
        <f>IF(A112="","",SUMIFS('Movimentações'!$E$5:$E$5000,'Movimentações'!$B$5:$B$5000,A112,'Movimentações'!$D$5:$D$5000,"Saída"))</f>
        <v/>
      </c>
      <c r="K112" s="16">
        <f>IF(A112="","",G112+I112-J112)</f>
        <v/>
      </c>
      <c r="L112" s="14">
        <f>IF(A112="","",IF(K112&lt;=0,"SEM ESTOQUE",IF(K112&lt;=H112,"REPOR","OK")))</f>
        <v/>
      </c>
      <c r="M112" s="15">
        <f>IF(A112="","",MAX(K112,0)*E112)</f>
        <v/>
      </c>
      <c r="N112" s="16">
        <f>IF(A112="","",IF(K112&lt;=H112,MAX(2*H112-K112,0),0))</f>
        <v/>
      </c>
      <c r="O112" s="17">
        <f>IF(OR(A112="",F112=0,F112=""),"",(F112-E112)/F112)</f>
        <v/>
      </c>
    </row>
    <row r="113">
      <c r="A113" s="14" t="n"/>
      <c r="B113" s="14" t="n"/>
      <c r="C113" s="14" t="n"/>
      <c r="D113" s="14" t="n"/>
      <c r="E113" s="15" t="n"/>
      <c r="F113" s="15" t="n"/>
      <c r="G113" s="16" t="n"/>
      <c r="H113" s="16" t="n"/>
      <c r="I113" s="16">
        <f>IF(A113="","",SUMIFS('Movimentações'!$E$5:$E$5000,'Movimentações'!$B$5:$B$5000,A113,'Movimentações'!$D$5:$D$5000,"Entrada"))</f>
        <v/>
      </c>
      <c r="J113" s="16">
        <f>IF(A113="","",SUMIFS('Movimentações'!$E$5:$E$5000,'Movimentações'!$B$5:$B$5000,A113,'Movimentações'!$D$5:$D$5000,"Saída"))</f>
        <v/>
      </c>
      <c r="K113" s="16">
        <f>IF(A113="","",G113+I113-J113)</f>
        <v/>
      </c>
      <c r="L113" s="14">
        <f>IF(A113="","",IF(K113&lt;=0,"SEM ESTOQUE",IF(K113&lt;=H113,"REPOR","OK")))</f>
        <v/>
      </c>
      <c r="M113" s="15">
        <f>IF(A113="","",MAX(K113,0)*E113)</f>
        <v/>
      </c>
      <c r="N113" s="16">
        <f>IF(A113="","",IF(K113&lt;=H113,MAX(2*H113-K113,0),0))</f>
        <v/>
      </c>
      <c r="O113" s="17">
        <f>IF(OR(A113="",F113=0,F113=""),"",(F113-E113)/F113)</f>
        <v/>
      </c>
    </row>
    <row r="114">
      <c r="A114" s="14" t="n"/>
      <c r="B114" s="14" t="n"/>
      <c r="C114" s="14" t="n"/>
      <c r="D114" s="14" t="n"/>
      <c r="E114" s="15" t="n"/>
      <c r="F114" s="15" t="n"/>
      <c r="G114" s="16" t="n"/>
      <c r="H114" s="16" t="n"/>
      <c r="I114" s="16">
        <f>IF(A114="","",SUMIFS('Movimentações'!$E$5:$E$5000,'Movimentações'!$B$5:$B$5000,A114,'Movimentações'!$D$5:$D$5000,"Entrada"))</f>
        <v/>
      </c>
      <c r="J114" s="16">
        <f>IF(A114="","",SUMIFS('Movimentações'!$E$5:$E$5000,'Movimentações'!$B$5:$B$5000,A114,'Movimentações'!$D$5:$D$5000,"Saída"))</f>
        <v/>
      </c>
      <c r="K114" s="16">
        <f>IF(A114="","",G114+I114-J114)</f>
        <v/>
      </c>
      <c r="L114" s="14">
        <f>IF(A114="","",IF(K114&lt;=0,"SEM ESTOQUE",IF(K114&lt;=H114,"REPOR","OK")))</f>
        <v/>
      </c>
      <c r="M114" s="15">
        <f>IF(A114="","",MAX(K114,0)*E114)</f>
        <v/>
      </c>
      <c r="N114" s="16">
        <f>IF(A114="","",IF(K114&lt;=H114,MAX(2*H114-K114,0),0))</f>
        <v/>
      </c>
      <c r="O114" s="17">
        <f>IF(OR(A114="",F114=0,F114=""),"",(F114-E114)/F114)</f>
        <v/>
      </c>
    </row>
    <row r="115">
      <c r="A115" s="14" t="n"/>
      <c r="B115" s="14" t="n"/>
      <c r="C115" s="14" t="n"/>
      <c r="D115" s="14" t="n"/>
      <c r="E115" s="15" t="n"/>
      <c r="F115" s="15" t="n"/>
      <c r="G115" s="16" t="n"/>
      <c r="H115" s="16" t="n"/>
      <c r="I115" s="16">
        <f>IF(A115="","",SUMIFS('Movimentações'!$E$5:$E$5000,'Movimentações'!$B$5:$B$5000,A115,'Movimentações'!$D$5:$D$5000,"Entrada"))</f>
        <v/>
      </c>
      <c r="J115" s="16">
        <f>IF(A115="","",SUMIFS('Movimentações'!$E$5:$E$5000,'Movimentações'!$B$5:$B$5000,A115,'Movimentações'!$D$5:$D$5000,"Saída"))</f>
        <v/>
      </c>
      <c r="K115" s="16">
        <f>IF(A115="","",G115+I115-J115)</f>
        <v/>
      </c>
      <c r="L115" s="14">
        <f>IF(A115="","",IF(K115&lt;=0,"SEM ESTOQUE",IF(K115&lt;=H115,"REPOR","OK")))</f>
        <v/>
      </c>
      <c r="M115" s="15">
        <f>IF(A115="","",MAX(K115,0)*E115)</f>
        <v/>
      </c>
      <c r="N115" s="16">
        <f>IF(A115="","",IF(K115&lt;=H115,MAX(2*H115-K115,0),0))</f>
        <v/>
      </c>
      <c r="O115" s="17">
        <f>IF(OR(A115="",F115=0,F115=""),"",(F115-E115)/F115)</f>
        <v/>
      </c>
    </row>
    <row r="116">
      <c r="A116" s="14" t="n"/>
      <c r="B116" s="14" t="n"/>
      <c r="C116" s="14" t="n"/>
      <c r="D116" s="14" t="n"/>
      <c r="E116" s="15" t="n"/>
      <c r="F116" s="15" t="n"/>
      <c r="G116" s="16" t="n"/>
      <c r="H116" s="16" t="n"/>
      <c r="I116" s="16">
        <f>IF(A116="","",SUMIFS('Movimentações'!$E$5:$E$5000,'Movimentações'!$B$5:$B$5000,A116,'Movimentações'!$D$5:$D$5000,"Entrada"))</f>
        <v/>
      </c>
      <c r="J116" s="16">
        <f>IF(A116="","",SUMIFS('Movimentações'!$E$5:$E$5000,'Movimentações'!$B$5:$B$5000,A116,'Movimentações'!$D$5:$D$5000,"Saída"))</f>
        <v/>
      </c>
      <c r="K116" s="16">
        <f>IF(A116="","",G116+I116-J116)</f>
        <v/>
      </c>
      <c r="L116" s="14">
        <f>IF(A116="","",IF(K116&lt;=0,"SEM ESTOQUE",IF(K116&lt;=H116,"REPOR","OK")))</f>
        <v/>
      </c>
      <c r="M116" s="15">
        <f>IF(A116="","",MAX(K116,0)*E116)</f>
        <v/>
      </c>
      <c r="N116" s="16">
        <f>IF(A116="","",IF(K116&lt;=H116,MAX(2*H116-K116,0),0))</f>
        <v/>
      </c>
      <c r="O116" s="17">
        <f>IF(OR(A116="",F116=0,F116=""),"",(F116-E116)/F116)</f>
        <v/>
      </c>
    </row>
    <row r="117">
      <c r="A117" s="14" t="n"/>
      <c r="B117" s="14" t="n"/>
      <c r="C117" s="14" t="n"/>
      <c r="D117" s="14" t="n"/>
      <c r="E117" s="15" t="n"/>
      <c r="F117" s="15" t="n"/>
      <c r="G117" s="16" t="n"/>
      <c r="H117" s="16" t="n"/>
      <c r="I117" s="16">
        <f>IF(A117="","",SUMIFS('Movimentações'!$E$5:$E$5000,'Movimentações'!$B$5:$B$5000,A117,'Movimentações'!$D$5:$D$5000,"Entrada"))</f>
        <v/>
      </c>
      <c r="J117" s="16">
        <f>IF(A117="","",SUMIFS('Movimentações'!$E$5:$E$5000,'Movimentações'!$B$5:$B$5000,A117,'Movimentações'!$D$5:$D$5000,"Saída"))</f>
        <v/>
      </c>
      <c r="K117" s="16">
        <f>IF(A117="","",G117+I117-J117)</f>
        <v/>
      </c>
      <c r="L117" s="14">
        <f>IF(A117="","",IF(K117&lt;=0,"SEM ESTOQUE",IF(K117&lt;=H117,"REPOR","OK")))</f>
        <v/>
      </c>
      <c r="M117" s="15">
        <f>IF(A117="","",MAX(K117,0)*E117)</f>
        <v/>
      </c>
      <c r="N117" s="16">
        <f>IF(A117="","",IF(K117&lt;=H117,MAX(2*H117-K117,0),0))</f>
        <v/>
      </c>
      <c r="O117" s="17">
        <f>IF(OR(A117="",F117=0,F117=""),"",(F117-E117)/F117)</f>
        <v/>
      </c>
    </row>
    <row r="118">
      <c r="A118" s="14" t="n"/>
      <c r="B118" s="14" t="n"/>
      <c r="C118" s="14" t="n"/>
      <c r="D118" s="14" t="n"/>
      <c r="E118" s="15" t="n"/>
      <c r="F118" s="15" t="n"/>
      <c r="G118" s="16" t="n"/>
      <c r="H118" s="16" t="n"/>
      <c r="I118" s="16">
        <f>IF(A118="","",SUMIFS('Movimentações'!$E$5:$E$5000,'Movimentações'!$B$5:$B$5000,A118,'Movimentações'!$D$5:$D$5000,"Entrada"))</f>
        <v/>
      </c>
      <c r="J118" s="16">
        <f>IF(A118="","",SUMIFS('Movimentações'!$E$5:$E$5000,'Movimentações'!$B$5:$B$5000,A118,'Movimentações'!$D$5:$D$5000,"Saída"))</f>
        <v/>
      </c>
      <c r="K118" s="16">
        <f>IF(A118="","",G118+I118-J118)</f>
        <v/>
      </c>
      <c r="L118" s="14">
        <f>IF(A118="","",IF(K118&lt;=0,"SEM ESTOQUE",IF(K118&lt;=H118,"REPOR","OK")))</f>
        <v/>
      </c>
      <c r="M118" s="15">
        <f>IF(A118="","",MAX(K118,0)*E118)</f>
        <v/>
      </c>
      <c r="N118" s="16">
        <f>IF(A118="","",IF(K118&lt;=H118,MAX(2*H118-K118,0),0))</f>
        <v/>
      </c>
      <c r="O118" s="17">
        <f>IF(OR(A118="",F118=0,F118=""),"",(F118-E118)/F118)</f>
        <v/>
      </c>
    </row>
    <row r="119">
      <c r="A119" s="14" t="n"/>
      <c r="B119" s="14" t="n"/>
      <c r="C119" s="14" t="n"/>
      <c r="D119" s="14" t="n"/>
      <c r="E119" s="15" t="n"/>
      <c r="F119" s="15" t="n"/>
      <c r="G119" s="16" t="n"/>
      <c r="H119" s="16" t="n"/>
      <c r="I119" s="16">
        <f>IF(A119="","",SUMIFS('Movimentações'!$E$5:$E$5000,'Movimentações'!$B$5:$B$5000,A119,'Movimentações'!$D$5:$D$5000,"Entrada"))</f>
        <v/>
      </c>
      <c r="J119" s="16">
        <f>IF(A119="","",SUMIFS('Movimentações'!$E$5:$E$5000,'Movimentações'!$B$5:$B$5000,A119,'Movimentações'!$D$5:$D$5000,"Saída"))</f>
        <v/>
      </c>
      <c r="K119" s="16">
        <f>IF(A119="","",G119+I119-J119)</f>
        <v/>
      </c>
      <c r="L119" s="14">
        <f>IF(A119="","",IF(K119&lt;=0,"SEM ESTOQUE",IF(K119&lt;=H119,"REPOR","OK")))</f>
        <v/>
      </c>
      <c r="M119" s="15">
        <f>IF(A119="","",MAX(K119,0)*E119)</f>
        <v/>
      </c>
      <c r="N119" s="16">
        <f>IF(A119="","",IF(K119&lt;=H119,MAX(2*H119-K119,0),0))</f>
        <v/>
      </c>
      <c r="O119" s="17">
        <f>IF(OR(A119="",F119=0,F119=""),"",(F119-E119)/F119)</f>
        <v/>
      </c>
    </row>
    <row r="120">
      <c r="A120" s="14" t="n"/>
      <c r="B120" s="14" t="n"/>
      <c r="C120" s="14" t="n"/>
      <c r="D120" s="14" t="n"/>
      <c r="E120" s="15" t="n"/>
      <c r="F120" s="15" t="n"/>
      <c r="G120" s="16" t="n"/>
      <c r="H120" s="16" t="n"/>
      <c r="I120" s="16">
        <f>IF(A120="","",SUMIFS('Movimentações'!$E$5:$E$5000,'Movimentações'!$B$5:$B$5000,A120,'Movimentações'!$D$5:$D$5000,"Entrada"))</f>
        <v/>
      </c>
      <c r="J120" s="16">
        <f>IF(A120="","",SUMIFS('Movimentações'!$E$5:$E$5000,'Movimentações'!$B$5:$B$5000,A120,'Movimentações'!$D$5:$D$5000,"Saída"))</f>
        <v/>
      </c>
      <c r="K120" s="16">
        <f>IF(A120="","",G120+I120-J120)</f>
        <v/>
      </c>
      <c r="L120" s="14">
        <f>IF(A120="","",IF(K120&lt;=0,"SEM ESTOQUE",IF(K120&lt;=H120,"REPOR","OK")))</f>
        <v/>
      </c>
      <c r="M120" s="15">
        <f>IF(A120="","",MAX(K120,0)*E120)</f>
        <v/>
      </c>
      <c r="N120" s="16">
        <f>IF(A120="","",IF(K120&lt;=H120,MAX(2*H120-K120,0),0))</f>
        <v/>
      </c>
      <c r="O120" s="17">
        <f>IF(OR(A120="",F120=0,F120=""),"",(F120-E120)/F120)</f>
        <v/>
      </c>
    </row>
    <row r="121">
      <c r="A121" s="14" t="n"/>
      <c r="B121" s="14" t="n"/>
      <c r="C121" s="14" t="n"/>
      <c r="D121" s="14" t="n"/>
      <c r="E121" s="15" t="n"/>
      <c r="F121" s="15" t="n"/>
      <c r="G121" s="16" t="n"/>
      <c r="H121" s="16" t="n"/>
      <c r="I121" s="16">
        <f>IF(A121="","",SUMIFS('Movimentações'!$E$5:$E$5000,'Movimentações'!$B$5:$B$5000,A121,'Movimentações'!$D$5:$D$5000,"Entrada"))</f>
        <v/>
      </c>
      <c r="J121" s="16">
        <f>IF(A121="","",SUMIFS('Movimentações'!$E$5:$E$5000,'Movimentações'!$B$5:$B$5000,A121,'Movimentações'!$D$5:$D$5000,"Saída"))</f>
        <v/>
      </c>
      <c r="K121" s="16">
        <f>IF(A121="","",G121+I121-J121)</f>
        <v/>
      </c>
      <c r="L121" s="14">
        <f>IF(A121="","",IF(K121&lt;=0,"SEM ESTOQUE",IF(K121&lt;=H121,"REPOR","OK")))</f>
        <v/>
      </c>
      <c r="M121" s="15">
        <f>IF(A121="","",MAX(K121,0)*E121)</f>
        <v/>
      </c>
      <c r="N121" s="16">
        <f>IF(A121="","",IF(K121&lt;=H121,MAX(2*H121-K121,0),0))</f>
        <v/>
      </c>
      <c r="O121" s="17">
        <f>IF(OR(A121="",F121=0,F121=""),"",(F121-E121)/F121)</f>
        <v/>
      </c>
    </row>
    <row r="122">
      <c r="A122" s="14" t="n"/>
      <c r="B122" s="14" t="n"/>
      <c r="C122" s="14" t="n"/>
      <c r="D122" s="14" t="n"/>
      <c r="E122" s="15" t="n"/>
      <c r="F122" s="15" t="n"/>
      <c r="G122" s="16" t="n"/>
      <c r="H122" s="16" t="n"/>
      <c r="I122" s="16">
        <f>IF(A122="","",SUMIFS('Movimentações'!$E$5:$E$5000,'Movimentações'!$B$5:$B$5000,A122,'Movimentações'!$D$5:$D$5000,"Entrada"))</f>
        <v/>
      </c>
      <c r="J122" s="16">
        <f>IF(A122="","",SUMIFS('Movimentações'!$E$5:$E$5000,'Movimentações'!$B$5:$B$5000,A122,'Movimentações'!$D$5:$D$5000,"Saída"))</f>
        <v/>
      </c>
      <c r="K122" s="16">
        <f>IF(A122="","",G122+I122-J122)</f>
        <v/>
      </c>
      <c r="L122" s="14">
        <f>IF(A122="","",IF(K122&lt;=0,"SEM ESTOQUE",IF(K122&lt;=H122,"REPOR","OK")))</f>
        <v/>
      </c>
      <c r="M122" s="15">
        <f>IF(A122="","",MAX(K122,0)*E122)</f>
        <v/>
      </c>
      <c r="N122" s="16">
        <f>IF(A122="","",IF(K122&lt;=H122,MAX(2*H122-K122,0),0))</f>
        <v/>
      </c>
      <c r="O122" s="17">
        <f>IF(OR(A122="",F122=0,F122=""),"",(F122-E122)/F122)</f>
        <v/>
      </c>
    </row>
    <row r="123">
      <c r="A123" s="14" t="n"/>
      <c r="B123" s="14" t="n"/>
      <c r="C123" s="14" t="n"/>
      <c r="D123" s="14" t="n"/>
      <c r="E123" s="15" t="n"/>
      <c r="F123" s="15" t="n"/>
      <c r="G123" s="16" t="n"/>
      <c r="H123" s="16" t="n"/>
      <c r="I123" s="16">
        <f>IF(A123="","",SUMIFS('Movimentações'!$E$5:$E$5000,'Movimentações'!$B$5:$B$5000,A123,'Movimentações'!$D$5:$D$5000,"Entrada"))</f>
        <v/>
      </c>
      <c r="J123" s="16">
        <f>IF(A123="","",SUMIFS('Movimentações'!$E$5:$E$5000,'Movimentações'!$B$5:$B$5000,A123,'Movimentações'!$D$5:$D$5000,"Saída"))</f>
        <v/>
      </c>
      <c r="K123" s="16">
        <f>IF(A123="","",G123+I123-J123)</f>
        <v/>
      </c>
      <c r="L123" s="14">
        <f>IF(A123="","",IF(K123&lt;=0,"SEM ESTOQUE",IF(K123&lt;=H123,"REPOR","OK")))</f>
        <v/>
      </c>
      <c r="M123" s="15">
        <f>IF(A123="","",MAX(K123,0)*E123)</f>
        <v/>
      </c>
      <c r="N123" s="16">
        <f>IF(A123="","",IF(K123&lt;=H123,MAX(2*H123-K123,0),0))</f>
        <v/>
      </c>
      <c r="O123" s="17">
        <f>IF(OR(A123="",F123=0,F123=""),"",(F123-E123)/F123)</f>
        <v/>
      </c>
    </row>
    <row r="124">
      <c r="A124" s="14" t="n"/>
      <c r="B124" s="14" t="n"/>
      <c r="C124" s="14" t="n"/>
      <c r="D124" s="14" t="n"/>
      <c r="E124" s="15" t="n"/>
      <c r="F124" s="15" t="n"/>
      <c r="G124" s="16" t="n"/>
      <c r="H124" s="16" t="n"/>
      <c r="I124" s="16">
        <f>IF(A124="","",SUMIFS('Movimentações'!$E$5:$E$5000,'Movimentações'!$B$5:$B$5000,A124,'Movimentações'!$D$5:$D$5000,"Entrada"))</f>
        <v/>
      </c>
      <c r="J124" s="16">
        <f>IF(A124="","",SUMIFS('Movimentações'!$E$5:$E$5000,'Movimentações'!$B$5:$B$5000,A124,'Movimentações'!$D$5:$D$5000,"Saída"))</f>
        <v/>
      </c>
      <c r="K124" s="16">
        <f>IF(A124="","",G124+I124-J124)</f>
        <v/>
      </c>
      <c r="L124" s="14">
        <f>IF(A124="","",IF(K124&lt;=0,"SEM ESTOQUE",IF(K124&lt;=H124,"REPOR","OK")))</f>
        <v/>
      </c>
      <c r="M124" s="15">
        <f>IF(A124="","",MAX(K124,0)*E124)</f>
        <v/>
      </c>
      <c r="N124" s="16">
        <f>IF(A124="","",IF(K124&lt;=H124,MAX(2*H124-K124,0),0))</f>
        <v/>
      </c>
      <c r="O124" s="17">
        <f>IF(OR(A124="",F124=0,F124=""),"",(F124-E124)/F124)</f>
        <v/>
      </c>
    </row>
    <row r="125">
      <c r="A125" s="14" t="n"/>
      <c r="B125" s="14" t="n"/>
      <c r="C125" s="14" t="n"/>
      <c r="D125" s="14" t="n"/>
      <c r="E125" s="15" t="n"/>
      <c r="F125" s="15" t="n"/>
      <c r="G125" s="16" t="n"/>
      <c r="H125" s="16" t="n"/>
      <c r="I125" s="16">
        <f>IF(A125="","",SUMIFS('Movimentações'!$E$5:$E$5000,'Movimentações'!$B$5:$B$5000,A125,'Movimentações'!$D$5:$D$5000,"Entrada"))</f>
        <v/>
      </c>
      <c r="J125" s="16">
        <f>IF(A125="","",SUMIFS('Movimentações'!$E$5:$E$5000,'Movimentações'!$B$5:$B$5000,A125,'Movimentações'!$D$5:$D$5000,"Saída"))</f>
        <v/>
      </c>
      <c r="K125" s="16">
        <f>IF(A125="","",G125+I125-J125)</f>
        <v/>
      </c>
      <c r="L125" s="14">
        <f>IF(A125="","",IF(K125&lt;=0,"SEM ESTOQUE",IF(K125&lt;=H125,"REPOR","OK")))</f>
        <v/>
      </c>
      <c r="M125" s="15">
        <f>IF(A125="","",MAX(K125,0)*E125)</f>
        <v/>
      </c>
      <c r="N125" s="16">
        <f>IF(A125="","",IF(K125&lt;=H125,MAX(2*H125-K125,0),0))</f>
        <v/>
      </c>
      <c r="O125" s="17">
        <f>IF(OR(A125="",F125=0,F125=""),"",(F125-E125)/F125)</f>
        <v/>
      </c>
    </row>
    <row r="126">
      <c r="A126" s="14" t="n"/>
      <c r="B126" s="14" t="n"/>
      <c r="C126" s="14" t="n"/>
      <c r="D126" s="14" t="n"/>
      <c r="E126" s="15" t="n"/>
      <c r="F126" s="15" t="n"/>
      <c r="G126" s="16" t="n"/>
      <c r="H126" s="16" t="n"/>
      <c r="I126" s="16">
        <f>IF(A126="","",SUMIFS('Movimentações'!$E$5:$E$5000,'Movimentações'!$B$5:$B$5000,A126,'Movimentações'!$D$5:$D$5000,"Entrada"))</f>
        <v/>
      </c>
      <c r="J126" s="16">
        <f>IF(A126="","",SUMIFS('Movimentações'!$E$5:$E$5000,'Movimentações'!$B$5:$B$5000,A126,'Movimentações'!$D$5:$D$5000,"Saída"))</f>
        <v/>
      </c>
      <c r="K126" s="16">
        <f>IF(A126="","",G126+I126-J126)</f>
        <v/>
      </c>
      <c r="L126" s="14">
        <f>IF(A126="","",IF(K126&lt;=0,"SEM ESTOQUE",IF(K126&lt;=H126,"REPOR","OK")))</f>
        <v/>
      </c>
      <c r="M126" s="15">
        <f>IF(A126="","",MAX(K126,0)*E126)</f>
        <v/>
      </c>
      <c r="N126" s="16">
        <f>IF(A126="","",IF(K126&lt;=H126,MAX(2*H126-K126,0),0))</f>
        <v/>
      </c>
      <c r="O126" s="17">
        <f>IF(OR(A126="",F126=0,F126=""),"",(F126-E126)/F126)</f>
        <v/>
      </c>
    </row>
    <row r="127">
      <c r="A127" s="14" t="n"/>
      <c r="B127" s="14" t="n"/>
      <c r="C127" s="14" t="n"/>
      <c r="D127" s="14" t="n"/>
      <c r="E127" s="15" t="n"/>
      <c r="F127" s="15" t="n"/>
      <c r="G127" s="16" t="n"/>
      <c r="H127" s="16" t="n"/>
      <c r="I127" s="16">
        <f>IF(A127="","",SUMIFS('Movimentações'!$E$5:$E$5000,'Movimentações'!$B$5:$B$5000,A127,'Movimentações'!$D$5:$D$5000,"Entrada"))</f>
        <v/>
      </c>
      <c r="J127" s="16">
        <f>IF(A127="","",SUMIFS('Movimentações'!$E$5:$E$5000,'Movimentações'!$B$5:$B$5000,A127,'Movimentações'!$D$5:$D$5000,"Saída"))</f>
        <v/>
      </c>
      <c r="K127" s="16">
        <f>IF(A127="","",G127+I127-J127)</f>
        <v/>
      </c>
      <c r="L127" s="14">
        <f>IF(A127="","",IF(K127&lt;=0,"SEM ESTOQUE",IF(K127&lt;=H127,"REPOR","OK")))</f>
        <v/>
      </c>
      <c r="M127" s="15">
        <f>IF(A127="","",MAX(K127,0)*E127)</f>
        <v/>
      </c>
      <c r="N127" s="16">
        <f>IF(A127="","",IF(K127&lt;=H127,MAX(2*H127-K127,0),0))</f>
        <v/>
      </c>
      <c r="O127" s="17">
        <f>IF(OR(A127="",F127=0,F127=""),"",(F127-E127)/F127)</f>
        <v/>
      </c>
    </row>
    <row r="128">
      <c r="A128" s="14" t="n"/>
      <c r="B128" s="14" t="n"/>
      <c r="C128" s="14" t="n"/>
      <c r="D128" s="14" t="n"/>
      <c r="E128" s="15" t="n"/>
      <c r="F128" s="15" t="n"/>
      <c r="G128" s="16" t="n"/>
      <c r="H128" s="16" t="n"/>
      <c r="I128" s="16">
        <f>IF(A128="","",SUMIFS('Movimentações'!$E$5:$E$5000,'Movimentações'!$B$5:$B$5000,A128,'Movimentações'!$D$5:$D$5000,"Entrada"))</f>
        <v/>
      </c>
      <c r="J128" s="16">
        <f>IF(A128="","",SUMIFS('Movimentações'!$E$5:$E$5000,'Movimentações'!$B$5:$B$5000,A128,'Movimentações'!$D$5:$D$5000,"Saída"))</f>
        <v/>
      </c>
      <c r="K128" s="16">
        <f>IF(A128="","",G128+I128-J128)</f>
        <v/>
      </c>
      <c r="L128" s="14">
        <f>IF(A128="","",IF(K128&lt;=0,"SEM ESTOQUE",IF(K128&lt;=H128,"REPOR","OK")))</f>
        <v/>
      </c>
      <c r="M128" s="15">
        <f>IF(A128="","",MAX(K128,0)*E128)</f>
        <v/>
      </c>
      <c r="N128" s="16">
        <f>IF(A128="","",IF(K128&lt;=H128,MAX(2*H128-K128,0),0))</f>
        <v/>
      </c>
      <c r="O128" s="17">
        <f>IF(OR(A128="",F128=0,F128=""),"",(F128-E128)/F128)</f>
        <v/>
      </c>
    </row>
    <row r="129">
      <c r="A129" s="14" t="n"/>
      <c r="B129" s="14" t="n"/>
      <c r="C129" s="14" t="n"/>
      <c r="D129" s="14" t="n"/>
      <c r="E129" s="15" t="n"/>
      <c r="F129" s="15" t="n"/>
      <c r="G129" s="16" t="n"/>
      <c r="H129" s="16" t="n"/>
      <c r="I129" s="16">
        <f>IF(A129="","",SUMIFS('Movimentações'!$E$5:$E$5000,'Movimentações'!$B$5:$B$5000,A129,'Movimentações'!$D$5:$D$5000,"Entrada"))</f>
        <v/>
      </c>
      <c r="J129" s="16">
        <f>IF(A129="","",SUMIFS('Movimentações'!$E$5:$E$5000,'Movimentações'!$B$5:$B$5000,A129,'Movimentações'!$D$5:$D$5000,"Saída"))</f>
        <v/>
      </c>
      <c r="K129" s="16">
        <f>IF(A129="","",G129+I129-J129)</f>
        <v/>
      </c>
      <c r="L129" s="14">
        <f>IF(A129="","",IF(K129&lt;=0,"SEM ESTOQUE",IF(K129&lt;=H129,"REPOR","OK")))</f>
        <v/>
      </c>
      <c r="M129" s="15">
        <f>IF(A129="","",MAX(K129,0)*E129)</f>
        <v/>
      </c>
      <c r="N129" s="16">
        <f>IF(A129="","",IF(K129&lt;=H129,MAX(2*H129-K129,0),0))</f>
        <v/>
      </c>
      <c r="O129" s="17">
        <f>IF(OR(A129="",F129=0,F129=""),"",(F129-E129)/F129)</f>
        <v/>
      </c>
    </row>
    <row r="130">
      <c r="A130" s="14" t="n"/>
      <c r="B130" s="14" t="n"/>
      <c r="C130" s="14" t="n"/>
      <c r="D130" s="14" t="n"/>
      <c r="E130" s="15" t="n"/>
      <c r="F130" s="15" t="n"/>
      <c r="G130" s="16" t="n"/>
      <c r="H130" s="16" t="n"/>
      <c r="I130" s="16">
        <f>IF(A130="","",SUMIFS('Movimentações'!$E$5:$E$5000,'Movimentações'!$B$5:$B$5000,A130,'Movimentações'!$D$5:$D$5000,"Entrada"))</f>
        <v/>
      </c>
      <c r="J130" s="16">
        <f>IF(A130="","",SUMIFS('Movimentações'!$E$5:$E$5000,'Movimentações'!$B$5:$B$5000,A130,'Movimentações'!$D$5:$D$5000,"Saída"))</f>
        <v/>
      </c>
      <c r="K130" s="16">
        <f>IF(A130="","",G130+I130-J130)</f>
        <v/>
      </c>
      <c r="L130" s="14">
        <f>IF(A130="","",IF(K130&lt;=0,"SEM ESTOQUE",IF(K130&lt;=H130,"REPOR","OK")))</f>
        <v/>
      </c>
      <c r="M130" s="15">
        <f>IF(A130="","",MAX(K130,0)*E130)</f>
        <v/>
      </c>
      <c r="N130" s="16">
        <f>IF(A130="","",IF(K130&lt;=H130,MAX(2*H130-K130,0),0))</f>
        <v/>
      </c>
      <c r="O130" s="17">
        <f>IF(OR(A130="",F130=0,F130=""),"",(F130-E130)/F130)</f>
        <v/>
      </c>
    </row>
    <row r="131">
      <c r="A131" s="14" t="n"/>
      <c r="B131" s="14" t="n"/>
      <c r="C131" s="14" t="n"/>
      <c r="D131" s="14" t="n"/>
      <c r="E131" s="15" t="n"/>
      <c r="F131" s="15" t="n"/>
      <c r="G131" s="16" t="n"/>
      <c r="H131" s="16" t="n"/>
      <c r="I131" s="16">
        <f>IF(A131="","",SUMIFS('Movimentações'!$E$5:$E$5000,'Movimentações'!$B$5:$B$5000,A131,'Movimentações'!$D$5:$D$5000,"Entrada"))</f>
        <v/>
      </c>
      <c r="J131" s="16">
        <f>IF(A131="","",SUMIFS('Movimentações'!$E$5:$E$5000,'Movimentações'!$B$5:$B$5000,A131,'Movimentações'!$D$5:$D$5000,"Saída"))</f>
        <v/>
      </c>
      <c r="K131" s="16">
        <f>IF(A131="","",G131+I131-J131)</f>
        <v/>
      </c>
      <c r="L131" s="14">
        <f>IF(A131="","",IF(K131&lt;=0,"SEM ESTOQUE",IF(K131&lt;=H131,"REPOR","OK")))</f>
        <v/>
      </c>
      <c r="M131" s="15">
        <f>IF(A131="","",MAX(K131,0)*E131)</f>
        <v/>
      </c>
      <c r="N131" s="16">
        <f>IF(A131="","",IF(K131&lt;=H131,MAX(2*H131-K131,0),0))</f>
        <v/>
      </c>
      <c r="O131" s="17">
        <f>IF(OR(A131="",F131=0,F131=""),"",(F131-E131)/F131)</f>
        <v/>
      </c>
    </row>
    <row r="132">
      <c r="A132" s="14" t="n"/>
      <c r="B132" s="14" t="n"/>
      <c r="C132" s="14" t="n"/>
      <c r="D132" s="14" t="n"/>
      <c r="E132" s="15" t="n"/>
      <c r="F132" s="15" t="n"/>
      <c r="G132" s="16" t="n"/>
      <c r="H132" s="16" t="n"/>
      <c r="I132" s="16">
        <f>IF(A132="","",SUMIFS('Movimentações'!$E$5:$E$5000,'Movimentações'!$B$5:$B$5000,A132,'Movimentações'!$D$5:$D$5000,"Entrada"))</f>
        <v/>
      </c>
      <c r="J132" s="16">
        <f>IF(A132="","",SUMIFS('Movimentações'!$E$5:$E$5000,'Movimentações'!$B$5:$B$5000,A132,'Movimentações'!$D$5:$D$5000,"Saída"))</f>
        <v/>
      </c>
      <c r="K132" s="16">
        <f>IF(A132="","",G132+I132-J132)</f>
        <v/>
      </c>
      <c r="L132" s="14">
        <f>IF(A132="","",IF(K132&lt;=0,"SEM ESTOQUE",IF(K132&lt;=H132,"REPOR","OK")))</f>
        <v/>
      </c>
      <c r="M132" s="15">
        <f>IF(A132="","",MAX(K132,0)*E132)</f>
        <v/>
      </c>
      <c r="N132" s="16">
        <f>IF(A132="","",IF(K132&lt;=H132,MAX(2*H132-K132,0),0))</f>
        <v/>
      </c>
      <c r="O132" s="17">
        <f>IF(OR(A132="",F132=0,F132=""),"",(F132-E132)/F132)</f>
        <v/>
      </c>
    </row>
    <row r="133">
      <c r="A133" s="14" t="n"/>
      <c r="B133" s="14" t="n"/>
      <c r="C133" s="14" t="n"/>
      <c r="D133" s="14" t="n"/>
      <c r="E133" s="15" t="n"/>
      <c r="F133" s="15" t="n"/>
      <c r="G133" s="16" t="n"/>
      <c r="H133" s="16" t="n"/>
      <c r="I133" s="16">
        <f>IF(A133="","",SUMIFS('Movimentações'!$E$5:$E$5000,'Movimentações'!$B$5:$B$5000,A133,'Movimentações'!$D$5:$D$5000,"Entrada"))</f>
        <v/>
      </c>
      <c r="J133" s="16">
        <f>IF(A133="","",SUMIFS('Movimentações'!$E$5:$E$5000,'Movimentações'!$B$5:$B$5000,A133,'Movimentações'!$D$5:$D$5000,"Saída"))</f>
        <v/>
      </c>
      <c r="K133" s="16">
        <f>IF(A133="","",G133+I133-J133)</f>
        <v/>
      </c>
      <c r="L133" s="14">
        <f>IF(A133="","",IF(K133&lt;=0,"SEM ESTOQUE",IF(K133&lt;=H133,"REPOR","OK")))</f>
        <v/>
      </c>
      <c r="M133" s="15">
        <f>IF(A133="","",MAX(K133,0)*E133)</f>
        <v/>
      </c>
      <c r="N133" s="16">
        <f>IF(A133="","",IF(K133&lt;=H133,MAX(2*H133-K133,0),0))</f>
        <v/>
      </c>
      <c r="O133" s="17">
        <f>IF(OR(A133="",F133=0,F133=""),"",(F133-E133)/F133)</f>
        <v/>
      </c>
    </row>
    <row r="134">
      <c r="A134" s="14" t="n"/>
      <c r="B134" s="14" t="n"/>
      <c r="C134" s="14" t="n"/>
      <c r="D134" s="14" t="n"/>
      <c r="E134" s="15" t="n"/>
      <c r="F134" s="15" t="n"/>
      <c r="G134" s="16" t="n"/>
      <c r="H134" s="16" t="n"/>
      <c r="I134" s="16">
        <f>IF(A134="","",SUMIFS('Movimentações'!$E$5:$E$5000,'Movimentações'!$B$5:$B$5000,A134,'Movimentações'!$D$5:$D$5000,"Entrada"))</f>
        <v/>
      </c>
      <c r="J134" s="16">
        <f>IF(A134="","",SUMIFS('Movimentações'!$E$5:$E$5000,'Movimentações'!$B$5:$B$5000,A134,'Movimentações'!$D$5:$D$5000,"Saída"))</f>
        <v/>
      </c>
      <c r="K134" s="16">
        <f>IF(A134="","",G134+I134-J134)</f>
        <v/>
      </c>
      <c r="L134" s="14">
        <f>IF(A134="","",IF(K134&lt;=0,"SEM ESTOQUE",IF(K134&lt;=H134,"REPOR","OK")))</f>
        <v/>
      </c>
      <c r="M134" s="15">
        <f>IF(A134="","",MAX(K134,0)*E134)</f>
        <v/>
      </c>
      <c r="N134" s="16">
        <f>IF(A134="","",IF(K134&lt;=H134,MAX(2*H134-K134,0),0))</f>
        <v/>
      </c>
      <c r="O134" s="17">
        <f>IF(OR(A134="",F134=0,F134=""),"",(F134-E134)/F134)</f>
        <v/>
      </c>
    </row>
    <row r="135">
      <c r="A135" s="14" t="n"/>
      <c r="B135" s="14" t="n"/>
      <c r="C135" s="14" t="n"/>
      <c r="D135" s="14" t="n"/>
      <c r="E135" s="15" t="n"/>
      <c r="F135" s="15" t="n"/>
      <c r="G135" s="16" t="n"/>
      <c r="H135" s="16" t="n"/>
      <c r="I135" s="16">
        <f>IF(A135="","",SUMIFS('Movimentações'!$E$5:$E$5000,'Movimentações'!$B$5:$B$5000,A135,'Movimentações'!$D$5:$D$5000,"Entrada"))</f>
        <v/>
      </c>
      <c r="J135" s="16">
        <f>IF(A135="","",SUMIFS('Movimentações'!$E$5:$E$5000,'Movimentações'!$B$5:$B$5000,A135,'Movimentações'!$D$5:$D$5000,"Saída"))</f>
        <v/>
      </c>
      <c r="K135" s="16">
        <f>IF(A135="","",G135+I135-J135)</f>
        <v/>
      </c>
      <c r="L135" s="14">
        <f>IF(A135="","",IF(K135&lt;=0,"SEM ESTOQUE",IF(K135&lt;=H135,"REPOR","OK")))</f>
        <v/>
      </c>
      <c r="M135" s="15">
        <f>IF(A135="","",MAX(K135,0)*E135)</f>
        <v/>
      </c>
      <c r="N135" s="16">
        <f>IF(A135="","",IF(K135&lt;=H135,MAX(2*H135-K135,0),0))</f>
        <v/>
      </c>
      <c r="O135" s="17">
        <f>IF(OR(A135="",F135=0,F135=""),"",(F135-E135)/F135)</f>
        <v/>
      </c>
    </row>
    <row r="136">
      <c r="A136" s="14" t="n"/>
      <c r="B136" s="14" t="n"/>
      <c r="C136" s="14" t="n"/>
      <c r="D136" s="14" t="n"/>
      <c r="E136" s="15" t="n"/>
      <c r="F136" s="15" t="n"/>
      <c r="G136" s="16" t="n"/>
      <c r="H136" s="16" t="n"/>
      <c r="I136" s="16">
        <f>IF(A136="","",SUMIFS('Movimentações'!$E$5:$E$5000,'Movimentações'!$B$5:$B$5000,A136,'Movimentações'!$D$5:$D$5000,"Entrada"))</f>
        <v/>
      </c>
      <c r="J136" s="16">
        <f>IF(A136="","",SUMIFS('Movimentações'!$E$5:$E$5000,'Movimentações'!$B$5:$B$5000,A136,'Movimentações'!$D$5:$D$5000,"Saída"))</f>
        <v/>
      </c>
      <c r="K136" s="16">
        <f>IF(A136="","",G136+I136-J136)</f>
        <v/>
      </c>
      <c r="L136" s="14">
        <f>IF(A136="","",IF(K136&lt;=0,"SEM ESTOQUE",IF(K136&lt;=H136,"REPOR","OK")))</f>
        <v/>
      </c>
      <c r="M136" s="15">
        <f>IF(A136="","",MAX(K136,0)*E136)</f>
        <v/>
      </c>
      <c r="N136" s="16">
        <f>IF(A136="","",IF(K136&lt;=H136,MAX(2*H136-K136,0),0))</f>
        <v/>
      </c>
      <c r="O136" s="17">
        <f>IF(OR(A136="",F136=0,F136=""),"",(F136-E136)/F136)</f>
        <v/>
      </c>
    </row>
    <row r="137">
      <c r="A137" s="14" t="n"/>
      <c r="B137" s="14" t="n"/>
      <c r="C137" s="14" t="n"/>
      <c r="D137" s="14" t="n"/>
      <c r="E137" s="15" t="n"/>
      <c r="F137" s="15" t="n"/>
      <c r="G137" s="16" t="n"/>
      <c r="H137" s="16" t="n"/>
      <c r="I137" s="16">
        <f>IF(A137="","",SUMIFS('Movimentações'!$E$5:$E$5000,'Movimentações'!$B$5:$B$5000,A137,'Movimentações'!$D$5:$D$5000,"Entrada"))</f>
        <v/>
      </c>
      <c r="J137" s="16">
        <f>IF(A137="","",SUMIFS('Movimentações'!$E$5:$E$5000,'Movimentações'!$B$5:$B$5000,A137,'Movimentações'!$D$5:$D$5000,"Saída"))</f>
        <v/>
      </c>
      <c r="K137" s="16">
        <f>IF(A137="","",G137+I137-J137)</f>
        <v/>
      </c>
      <c r="L137" s="14">
        <f>IF(A137="","",IF(K137&lt;=0,"SEM ESTOQUE",IF(K137&lt;=H137,"REPOR","OK")))</f>
        <v/>
      </c>
      <c r="M137" s="15">
        <f>IF(A137="","",MAX(K137,0)*E137)</f>
        <v/>
      </c>
      <c r="N137" s="16">
        <f>IF(A137="","",IF(K137&lt;=H137,MAX(2*H137-K137,0),0))</f>
        <v/>
      </c>
      <c r="O137" s="17">
        <f>IF(OR(A137="",F137=0,F137=""),"",(F137-E137)/F137)</f>
        <v/>
      </c>
    </row>
    <row r="138">
      <c r="A138" s="14" t="n"/>
      <c r="B138" s="14" t="n"/>
      <c r="C138" s="14" t="n"/>
      <c r="D138" s="14" t="n"/>
      <c r="E138" s="15" t="n"/>
      <c r="F138" s="15" t="n"/>
      <c r="G138" s="16" t="n"/>
      <c r="H138" s="16" t="n"/>
      <c r="I138" s="16">
        <f>IF(A138="","",SUMIFS('Movimentações'!$E$5:$E$5000,'Movimentações'!$B$5:$B$5000,A138,'Movimentações'!$D$5:$D$5000,"Entrada"))</f>
        <v/>
      </c>
      <c r="J138" s="16">
        <f>IF(A138="","",SUMIFS('Movimentações'!$E$5:$E$5000,'Movimentações'!$B$5:$B$5000,A138,'Movimentações'!$D$5:$D$5000,"Saída"))</f>
        <v/>
      </c>
      <c r="K138" s="16">
        <f>IF(A138="","",G138+I138-J138)</f>
        <v/>
      </c>
      <c r="L138" s="14">
        <f>IF(A138="","",IF(K138&lt;=0,"SEM ESTOQUE",IF(K138&lt;=H138,"REPOR","OK")))</f>
        <v/>
      </c>
      <c r="M138" s="15">
        <f>IF(A138="","",MAX(K138,0)*E138)</f>
        <v/>
      </c>
      <c r="N138" s="16">
        <f>IF(A138="","",IF(K138&lt;=H138,MAX(2*H138-K138,0),0))</f>
        <v/>
      </c>
      <c r="O138" s="17">
        <f>IF(OR(A138="",F138=0,F138=""),"",(F138-E138)/F138)</f>
        <v/>
      </c>
    </row>
    <row r="139">
      <c r="A139" s="14" t="n"/>
      <c r="B139" s="14" t="n"/>
      <c r="C139" s="14" t="n"/>
      <c r="D139" s="14" t="n"/>
      <c r="E139" s="15" t="n"/>
      <c r="F139" s="15" t="n"/>
      <c r="G139" s="16" t="n"/>
      <c r="H139" s="16" t="n"/>
      <c r="I139" s="16">
        <f>IF(A139="","",SUMIFS('Movimentações'!$E$5:$E$5000,'Movimentações'!$B$5:$B$5000,A139,'Movimentações'!$D$5:$D$5000,"Entrada"))</f>
        <v/>
      </c>
      <c r="J139" s="16">
        <f>IF(A139="","",SUMIFS('Movimentações'!$E$5:$E$5000,'Movimentações'!$B$5:$B$5000,A139,'Movimentações'!$D$5:$D$5000,"Saída"))</f>
        <v/>
      </c>
      <c r="K139" s="16">
        <f>IF(A139="","",G139+I139-J139)</f>
        <v/>
      </c>
      <c r="L139" s="14">
        <f>IF(A139="","",IF(K139&lt;=0,"SEM ESTOQUE",IF(K139&lt;=H139,"REPOR","OK")))</f>
        <v/>
      </c>
      <c r="M139" s="15">
        <f>IF(A139="","",MAX(K139,0)*E139)</f>
        <v/>
      </c>
      <c r="N139" s="16">
        <f>IF(A139="","",IF(K139&lt;=H139,MAX(2*H139-K139,0),0))</f>
        <v/>
      </c>
      <c r="O139" s="17">
        <f>IF(OR(A139="",F139=0,F139=""),"",(F139-E139)/F139)</f>
        <v/>
      </c>
    </row>
    <row r="140">
      <c r="A140" s="14" t="n"/>
      <c r="B140" s="14" t="n"/>
      <c r="C140" s="14" t="n"/>
      <c r="D140" s="14" t="n"/>
      <c r="E140" s="15" t="n"/>
      <c r="F140" s="15" t="n"/>
      <c r="G140" s="16" t="n"/>
      <c r="H140" s="16" t="n"/>
      <c r="I140" s="16">
        <f>IF(A140="","",SUMIFS('Movimentações'!$E$5:$E$5000,'Movimentações'!$B$5:$B$5000,A140,'Movimentações'!$D$5:$D$5000,"Entrada"))</f>
        <v/>
      </c>
      <c r="J140" s="16">
        <f>IF(A140="","",SUMIFS('Movimentações'!$E$5:$E$5000,'Movimentações'!$B$5:$B$5000,A140,'Movimentações'!$D$5:$D$5000,"Saída"))</f>
        <v/>
      </c>
      <c r="K140" s="16">
        <f>IF(A140="","",G140+I140-J140)</f>
        <v/>
      </c>
      <c r="L140" s="14">
        <f>IF(A140="","",IF(K140&lt;=0,"SEM ESTOQUE",IF(K140&lt;=H140,"REPOR","OK")))</f>
        <v/>
      </c>
      <c r="M140" s="15">
        <f>IF(A140="","",MAX(K140,0)*E140)</f>
        <v/>
      </c>
      <c r="N140" s="16">
        <f>IF(A140="","",IF(K140&lt;=H140,MAX(2*H140-K140,0),0))</f>
        <v/>
      </c>
      <c r="O140" s="17">
        <f>IF(OR(A140="",F140=0,F140=""),"",(F140-E140)/F140)</f>
        <v/>
      </c>
    </row>
    <row r="141">
      <c r="A141" s="14" t="n"/>
      <c r="B141" s="14" t="n"/>
      <c r="C141" s="14" t="n"/>
      <c r="D141" s="14" t="n"/>
      <c r="E141" s="15" t="n"/>
      <c r="F141" s="15" t="n"/>
      <c r="G141" s="16" t="n"/>
      <c r="H141" s="16" t="n"/>
      <c r="I141" s="16">
        <f>IF(A141="","",SUMIFS('Movimentações'!$E$5:$E$5000,'Movimentações'!$B$5:$B$5000,A141,'Movimentações'!$D$5:$D$5000,"Entrada"))</f>
        <v/>
      </c>
      <c r="J141" s="16">
        <f>IF(A141="","",SUMIFS('Movimentações'!$E$5:$E$5000,'Movimentações'!$B$5:$B$5000,A141,'Movimentações'!$D$5:$D$5000,"Saída"))</f>
        <v/>
      </c>
      <c r="K141" s="16">
        <f>IF(A141="","",G141+I141-J141)</f>
        <v/>
      </c>
      <c r="L141" s="14">
        <f>IF(A141="","",IF(K141&lt;=0,"SEM ESTOQUE",IF(K141&lt;=H141,"REPOR","OK")))</f>
        <v/>
      </c>
      <c r="M141" s="15">
        <f>IF(A141="","",MAX(K141,0)*E141)</f>
        <v/>
      </c>
      <c r="N141" s="16">
        <f>IF(A141="","",IF(K141&lt;=H141,MAX(2*H141-K141,0),0))</f>
        <v/>
      </c>
      <c r="O141" s="17">
        <f>IF(OR(A141="",F141=0,F141=""),"",(F141-E141)/F141)</f>
        <v/>
      </c>
    </row>
    <row r="142">
      <c r="A142" s="14" t="n"/>
      <c r="B142" s="14" t="n"/>
      <c r="C142" s="14" t="n"/>
      <c r="D142" s="14" t="n"/>
      <c r="E142" s="15" t="n"/>
      <c r="F142" s="15" t="n"/>
      <c r="G142" s="16" t="n"/>
      <c r="H142" s="16" t="n"/>
      <c r="I142" s="16">
        <f>IF(A142="","",SUMIFS('Movimentações'!$E$5:$E$5000,'Movimentações'!$B$5:$B$5000,A142,'Movimentações'!$D$5:$D$5000,"Entrada"))</f>
        <v/>
      </c>
      <c r="J142" s="16">
        <f>IF(A142="","",SUMIFS('Movimentações'!$E$5:$E$5000,'Movimentações'!$B$5:$B$5000,A142,'Movimentações'!$D$5:$D$5000,"Saída"))</f>
        <v/>
      </c>
      <c r="K142" s="16">
        <f>IF(A142="","",G142+I142-J142)</f>
        <v/>
      </c>
      <c r="L142" s="14">
        <f>IF(A142="","",IF(K142&lt;=0,"SEM ESTOQUE",IF(K142&lt;=H142,"REPOR","OK")))</f>
        <v/>
      </c>
      <c r="M142" s="15">
        <f>IF(A142="","",MAX(K142,0)*E142)</f>
        <v/>
      </c>
      <c r="N142" s="16">
        <f>IF(A142="","",IF(K142&lt;=H142,MAX(2*H142-K142,0),0))</f>
        <v/>
      </c>
      <c r="O142" s="17">
        <f>IF(OR(A142="",F142=0,F142=""),"",(F142-E142)/F142)</f>
        <v/>
      </c>
    </row>
    <row r="143">
      <c r="A143" s="14" t="n"/>
      <c r="B143" s="14" t="n"/>
      <c r="C143" s="14" t="n"/>
      <c r="D143" s="14" t="n"/>
      <c r="E143" s="15" t="n"/>
      <c r="F143" s="15" t="n"/>
      <c r="G143" s="16" t="n"/>
      <c r="H143" s="16" t="n"/>
      <c r="I143" s="16">
        <f>IF(A143="","",SUMIFS('Movimentações'!$E$5:$E$5000,'Movimentações'!$B$5:$B$5000,A143,'Movimentações'!$D$5:$D$5000,"Entrada"))</f>
        <v/>
      </c>
      <c r="J143" s="16">
        <f>IF(A143="","",SUMIFS('Movimentações'!$E$5:$E$5000,'Movimentações'!$B$5:$B$5000,A143,'Movimentações'!$D$5:$D$5000,"Saída"))</f>
        <v/>
      </c>
      <c r="K143" s="16">
        <f>IF(A143="","",G143+I143-J143)</f>
        <v/>
      </c>
      <c r="L143" s="14">
        <f>IF(A143="","",IF(K143&lt;=0,"SEM ESTOQUE",IF(K143&lt;=H143,"REPOR","OK")))</f>
        <v/>
      </c>
      <c r="M143" s="15">
        <f>IF(A143="","",MAX(K143,0)*E143)</f>
        <v/>
      </c>
      <c r="N143" s="16">
        <f>IF(A143="","",IF(K143&lt;=H143,MAX(2*H143-K143,0),0))</f>
        <v/>
      </c>
      <c r="O143" s="17">
        <f>IF(OR(A143="",F143=0,F143=""),"",(F143-E143)/F143)</f>
        <v/>
      </c>
    </row>
    <row r="144">
      <c r="A144" s="14" t="n"/>
      <c r="B144" s="14" t="n"/>
      <c r="C144" s="14" t="n"/>
      <c r="D144" s="14" t="n"/>
      <c r="E144" s="15" t="n"/>
      <c r="F144" s="15" t="n"/>
      <c r="G144" s="16" t="n"/>
      <c r="H144" s="16" t="n"/>
      <c r="I144" s="16">
        <f>IF(A144="","",SUMIFS('Movimentações'!$E$5:$E$5000,'Movimentações'!$B$5:$B$5000,A144,'Movimentações'!$D$5:$D$5000,"Entrada"))</f>
        <v/>
      </c>
      <c r="J144" s="16">
        <f>IF(A144="","",SUMIFS('Movimentações'!$E$5:$E$5000,'Movimentações'!$B$5:$B$5000,A144,'Movimentações'!$D$5:$D$5000,"Saída"))</f>
        <v/>
      </c>
      <c r="K144" s="16">
        <f>IF(A144="","",G144+I144-J144)</f>
        <v/>
      </c>
      <c r="L144" s="14">
        <f>IF(A144="","",IF(K144&lt;=0,"SEM ESTOQUE",IF(K144&lt;=H144,"REPOR","OK")))</f>
        <v/>
      </c>
      <c r="M144" s="15">
        <f>IF(A144="","",MAX(K144,0)*E144)</f>
        <v/>
      </c>
      <c r="N144" s="16">
        <f>IF(A144="","",IF(K144&lt;=H144,MAX(2*H144-K144,0),0))</f>
        <v/>
      </c>
      <c r="O144" s="17">
        <f>IF(OR(A144="",F144=0,F144=""),"",(F144-E144)/F144)</f>
        <v/>
      </c>
    </row>
    <row r="145">
      <c r="A145" s="14" t="n"/>
      <c r="B145" s="14" t="n"/>
      <c r="C145" s="14" t="n"/>
      <c r="D145" s="14" t="n"/>
      <c r="E145" s="15" t="n"/>
      <c r="F145" s="15" t="n"/>
      <c r="G145" s="16" t="n"/>
      <c r="H145" s="16" t="n"/>
      <c r="I145" s="16">
        <f>IF(A145="","",SUMIFS('Movimentações'!$E$5:$E$5000,'Movimentações'!$B$5:$B$5000,A145,'Movimentações'!$D$5:$D$5000,"Entrada"))</f>
        <v/>
      </c>
      <c r="J145" s="16">
        <f>IF(A145="","",SUMIFS('Movimentações'!$E$5:$E$5000,'Movimentações'!$B$5:$B$5000,A145,'Movimentações'!$D$5:$D$5000,"Saída"))</f>
        <v/>
      </c>
      <c r="K145" s="16">
        <f>IF(A145="","",G145+I145-J145)</f>
        <v/>
      </c>
      <c r="L145" s="14">
        <f>IF(A145="","",IF(K145&lt;=0,"SEM ESTOQUE",IF(K145&lt;=H145,"REPOR","OK")))</f>
        <v/>
      </c>
      <c r="M145" s="15">
        <f>IF(A145="","",MAX(K145,0)*E145)</f>
        <v/>
      </c>
      <c r="N145" s="16">
        <f>IF(A145="","",IF(K145&lt;=H145,MAX(2*H145-K145,0),0))</f>
        <v/>
      </c>
      <c r="O145" s="17">
        <f>IF(OR(A145="",F145=0,F145=""),"",(F145-E145)/F145)</f>
        <v/>
      </c>
    </row>
    <row r="146">
      <c r="A146" s="14" t="n"/>
      <c r="B146" s="14" t="n"/>
      <c r="C146" s="14" t="n"/>
      <c r="D146" s="14" t="n"/>
      <c r="E146" s="15" t="n"/>
      <c r="F146" s="15" t="n"/>
      <c r="G146" s="16" t="n"/>
      <c r="H146" s="16" t="n"/>
      <c r="I146" s="16">
        <f>IF(A146="","",SUMIFS('Movimentações'!$E$5:$E$5000,'Movimentações'!$B$5:$B$5000,A146,'Movimentações'!$D$5:$D$5000,"Entrada"))</f>
        <v/>
      </c>
      <c r="J146" s="16">
        <f>IF(A146="","",SUMIFS('Movimentações'!$E$5:$E$5000,'Movimentações'!$B$5:$B$5000,A146,'Movimentações'!$D$5:$D$5000,"Saída"))</f>
        <v/>
      </c>
      <c r="K146" s="16">
        <f>IF(A146="","",G146+I146-J146)</f>
        <v/>
      </c>
      <c r="L146" s="14">
        <f>IF(A146="","",IF(K146&lt;=0,"SEM ESTOQUE",IF(K146&lt;=H146,"REPOR","OK")))</f>
        <v/>
      </c>
      <c r="M146" s="15">
        <f>IF(A146="","",MAX(K146,0)*E146)</f>
        <v/>
      </c>
      <c r="N146" s="16">
        <f>IF(A146="","",IF(K146&lt;=H146,MAX(2*H146-K146,0),0))</f>
        <v/>
      </c>
      <c r="O146" s="17">
        <f>IF(OR(A146="",F146=0,F146=""),"",(F146-E146)/F146)</f>
        <v/>
      </c>
    </row>
    <row r="147">
      <c r="A147" s="14" t="n"/>
      <c r="B147" s="14" t="n"/>
      <c r="C147" s="14" t="n"/>
      <c r="D147" s="14" t="n"/>
      <c r="E147" s="15" t="n"/>
      <c r="F147" s="15" t="n"/>
      <c r="G147" s="16" t="n"/>
      <c r="H147" s="16" t="n"/>
      <c r="I147" s="16">
        <f>IF(A147="","",SUMIFS('Movimentações'!$E$5:$E$5000,'Movimentações'!$B$5:$B$5000,A147,'Movimentações'!$D$5:$D$5000,"Entrada"))</f>
        <v/>
      </c>
      <c r="J147" s="16">
        <f>IF(A147="","",SUMIFS('Movimentações'!$E$5:$E$5000,'Movimentações'!$B$5:$B$5000,A147,'Movimentações'!$D$5:$D$5000,"Saída"))</f>
        <v/>
      </c>
      <c r="K147" s="16">
        <f>IF(A147="","",G147+I147-J147)</f>
        <v/>
      </c>
      <c r="L147" s="14">
        <f>IF(A147="","",IF(K147&lt;=0,"SEM ESTOQUE",IF(K147&lt;=H147,"REPOR","OK")))</f>
        <v/>
      </c>
      <c r="M147" s="15">
        <f>IF(A147="","",MAX(K147,0)*E147)</f>
        <v/>
      </c>
      <c r="N147" s="16">
        <f>IF(A147="","",IF(K147&lt;=H147,MAX(2*H147-K147,0),0))</f>
        <v/>
      </c>
      <c r="O147" s="17">
        <f>IF(OR(A147="",F147=0,F147=""),"",(F147-E147)/F147)</f>
        <v/>
      </c>
    </row>
    <row r="148">
      <c r="A148" s="14" t="n"/>
      <c r="B148" s="14" t="n"/>
      <c r="C148" s="14" t="n"/>
      <c r="D148" s="14" t="n"/>
      <c r="E148" s="15" t="n"/>
      <c r="F148" s="15" t="n"/>
      <c r="G148" s="16" t="n"/>
      <c r="H148" s="16" t="n"/>
      <c r="I148" s="16">
        <f>IF(A148="","",SUMIFS('Movimentações'!$E$5:$E$5000,'Movimentações'!$B$5:$B$5000,A148,'Movimentações'!$D$5:$D$5000,"Entrada"))</f>
        <v/>
      </c>
      <c r="J148" s="16">
        <f>IF(A148="","",SUMIFS('Movimentações'!$E$5:$E$5000,'Movimentações'!$B$5:$B$5000,A148,'Movimentações'!$D$5:$D$5000,"Saída"))</f>
        <v/>
      </c>
      <c r="K148" s="16">
        <f>IF(A148="","",G148+I148-J148)</f>
        <v/>
      </c>
      <c r="L148" s="14">
        <f>IF(A148="","",IF(K148&lt;=0,"SEM ESTOQUE",IF(K148&lt;=H148,"REPOR","OK")))</f>
        <v/>
      </c>
      <c r="M148" s="15">
        <f>IF(A148="","",MAX(K148,0)*E148)</f>
        <v/>
      </c>
      <c r="N148" s="16">
        <f>IF(A148="","",IF(K148&lt;=H148,MAX(2*H148-K148,0),0))</f>
        <v/>
      </c>
      <c r="O148" s="17">
        <f>IF(OR(A148="",F148=0,F148=""),"",(F148-E148)/F148)</f>
        <v/>
      </c>
    </row>
    <row r="149">
      <c r="A149" s="14" t="n"/>
      <c r="B149" s="14" t="n"/>
      <c r="C149" s="14" t="n"/>
      <c r="D149" s="14" t="n"/>
      <c r="E149" s="15" t="n"/>
      <c r="F149" s="15" t="n"/>
      <c r="G149" s="16" t="n"/>
      <c r="H149" s="16" t="n"/>
      <c r="I149" s="16">
        <f>IF(A149="","",SUMIFS('Movimentações'!$E$5:$E$5000,'Movimentações'!$B$5:$B$5000,A149,'Movimentações'!$D$5:$D$5000,"Entrada"))</f>
        <v/>
      </c>
      <c r="J149" s="16">
        <f>IF(A149="","",SUMIFS('Movimentações'!$E$5:$E$5000,'Movimentações'!$B$5:$B$5000,A149,'Movimentações'!$D$5:$D$5000,"Saída"))</f>
        <v/>
      </c>
      <c r="K149" s="16">
        <f>IF(A149="","",G149+I149-J149)</f>
        <v/>
      </c>
      <c r="L149" s="14">
        <f>IF(A149="","",IF(K149&lt;=0,"SEM ESTOQUE",IF(K149&lt;=H149,"REPOR","OK")))</f>
        <v/>
      </c>
      <c r="M149" s="15">
        <f>IF(A149="","",MAX(K149,0)*E149)</f>
        <v/>
      </c>
      <c r="N149" s="16">
        <f>IF(A149="","",IF(K149&lt;=H149,MAX(2*H149-K149,0),0))</f>
        <v/>
      </c>
      <c r="O149" s="17">
        <f>IF(OR(A149="",F149=0,F149=""),"",(F149-E149)/F149)</f>
        <v/>
      </c>
    </row>
    <row r="150">
      <c r="A150" s="14" t="n"/>
      <c r="B150" s="14" t="n"/>
      <c r="C150" s="14" t="n"/>
      <c r="D150" s="14" t="n"/>
      <c r="E150" s="15" t="n"/>
      <c r="F150" s="15" t="n"/>
      <c r="G150" s="16" t="n"/>
      <c r="H150" s="16" t="n"/>
      <c r="I150" s="16">
        <f>IF(A150="","",SUMIFS('Movimentações'!$E$5:$E$5000,'Movimentações'!$B$5:$B$5000,A150,'Movimentações'!$D$5:$D$5000,"Entrada"))</f>
        <v/>
      </c>
      <c r="J150" s="16">
        <f>IF(A150="","",SUMIFS('Movimentações'!$E$5:$E$5000,'Movimentações'!$B$5:$B$5000,A150,'Movimentações'!$D$5:$D$5000,"Saída"))</f>
        <v/>
      </c>
      <c r="K150" s="16">
        <f>IF(A150="","",G150+I150-J150)</f>
        <v/>
      </c>
      <c r="L150" s="14">
        <f>IF(A150="","",IF(K150&lt;=0,"SEM ESTOQUE",IF(K150&lt;=H150,"REPOR","OK")))</f>
        <v/>
      </c>
      <c r="M150" s="15">
        <f>IF(A150="","",MAX(K150,0)*E150)</f>
        <v/>
      </c>
      <c r="N150" s="16">
        <f>IF(A150="","",IF(K150&lt;=H150,MAX(2*H150-K150,0),0))</f>
        <v/>
      </c>
      <c r="O150" s="17">
        <f>IF(OR(A150="",F150=0,F150=""),"",(F150-E150)/F150)</f>
        <v/>
      </c>
    </row>
    <row r="151">
      <c r="A151" s="14" t="n"/>
      <c r="B151" s="14" t="n"/>
      <c r="C151" s="14" t="n"/>
      <c r="D151" s="14" t="n"/>
      <c r="E151" s="15" t="n"/>
      <c r="F151" s="15" t="n"/>
      <c r="G151" s="16" t="n"/>
      <c r="H151" s="16" t="n"/>
      <c r="I151" s="16">
        <f>IF(A151="","",SUMIFS('Movimentações'!$E$5:$E$5000,'Movimentações'!$B$5:$B$5000,A151,'Movimentações'!$D$5:$D$5000,"Entrada"))</f>
        <v/>
      </c>
      <c r="J151" s="16">
        <f>IF(A151="","",SUMIFS('Movimentações'!$E$5:$E$5000,'Movimentações'!$B$5:$B$5000,A151,'Movimentações'!$D$5:$D$5000,"Saída"))</f>
        <v/>
      </c>
      <c r="K151" s="16">
        <f>IF(A151="","",G151+I151-J151)</f>
        <v/>
      </c>
      <c r="L151" s="14">
        <f>IF(A151="","",IF(K151&lt;=0,"SEM ESTOQUE",IF(K151&lt;=H151,"REPOR","OK")))</f>
        <v/>
      </c>
      <c r="M151" s="15">
        <f>IF(A151="","",MAX(K151,0)*E151)</f>
        <v/>
      </c>
      <c r="N151" s="16">
        <f>IF(A151="","",IF(K151&lt;=H151,MAX(2*H151-K151,0),0))</f>
        <v/>
      </c>
      <c r="O151" s="17">
        <f>IF(OR(A151="",F151=0,F151=""),"",(F151-E151)/F151)</f>
        <v/>
      </c>
    </row>
    <row r="152">
      <c r="A152" s="14" t="n"/>
      <c r="B152" s="14" t="n"/>
      <c r="C152" s="14" t="n"/>
      <c r="D152" s="14" t="n"/>
      <c r="E152" s="15" t="n"/>
      <c r="F152" s="15" t="n"/>
      <c r="G152" s="16" t="n"/>
      <c r="H152" s="16" t="n"/>
      <c r="I152" s="16">
        <f>IF(A152="","",SUMIFS('Movimentações'!$E$5:$E$5000,'Movimentações'!$B$5:$B$5000,A152,'Movimentações'!$D$5:$D$5000,"Entrada"))</f>
        <v/>
      </c>
      <c r="J152" s="16">
        <f>IF(A152="","",SUMIFS('Movimentações'!$E$5:$E$5000,'Movimentações'!$B$5:$B$5000,A152,'Movimentações'!$D$5:$D$5000,"Saída"))</f>
        <v/>
      </c>
      <c r="K152" s="16">
        <f>IF(A152="","",G152+I152-J152)</f>
        <v/>
      </c>
      <c r="L152" s="14">
        <f>IF(A152="","",IF(K152&lt;=0,"SEM ESTOQUE",IF(K152&lt;=H152,"REPOR","OK")))</f>
        <v/>
      </c>
      <c r="M152" s="15">
        <f>IF(A152="","",MAX(K152,0)*E152)</f>
        <v/>
      </c>
      <c r="N152" s="16">
        <f>IF(A152="","",IF(K152&lt;=H152,MAX(2*H152-K152,0),0))</f>
        <v/>
      </c>
      <c r="O152" s="17">
        <f>IF(OR(A152="",F152=0,F152=""),"",(F152-E152)/F152)</f>
        <v/>
      </c>
    </row>
    <row r="153">
      <c r="A153" s="14" t="n"/>
      <c r="B153" s="14" t="n"/>
      <c r="C153" s="14" t="n"/>
      <c r="D153" s="14" t="n"/>
      <c r="E153" s="15" t="n"/>
      <c r="F153" s="15" t="n"/>
      <c r="G153" s="16" t="n"/>
      <c r="H153" s="16" t="n"/>
      <c r="I153" s="16">
        <f>IF(A153="","",SUMIFS('Movimentações'!$E$5:$E$5000,'Movimentações'!$B$5:$B$5000,A153,'Movimentações'!$D$5:$D$5000,"Entrada"))</f>
        <v/>
      </c>
      <c r="J153" s="16">
        <f>IF(A153="","",SUMIFS('Movimentações'!$E$5:$E$5000,'Movimentações'!$B$5:$B$5000,A153,'Movimentações'!$D$5:$D$5000,"Saída"))</f>
        <v/>
      </c>
      <c r="K153" s="16">
        <f>IF(A153="","",G153+I153-J153)</f>
        <v/>
      </c>
      <c r="L153" s="14">
        <f>IF(A153="","",IF(K153&lt;=0,"SEM ESTOQUE",IF(K153&lt;=H153,"REPOR","OK")))</f>
        <v/>
      </c>
      <c r="M153" s="15">
        <f>IF(A153="","",MAX(K153,0)*E153)</f>
        <v/>
      </c>
      <c r="N153" s="16">
        <f>IF(A153="","",IF(K153&lt;=H153,MAX(2*H153-K153,0),0))</f>
        <v/>
      </c>
      <c r="O153" s="17">
        <f>IF(OR(A153="",F153=0,F153=""),"",(F153-E153)/F153)</f>
        <v/>
      </c>
    </row>
    <row r="154">
      <c r="A154" s="14" t="n"/>
      <c r="B154" s="14" t="n"/>
      <c r="C154" s="14" t="n"/>
      <c r="D154" s="14" t="n"/>
      <c r="E154" s="15" t="n"/>
      <c r="F154" s="15" t="n"/>
      <c r="G154" s="16" t="n"/>
      <c r="H154" s="16" t="n"/>
      <c r="I154" s="16">
        <f>IF(A154="","",SUMIFS('Movimentações'!$E$5:$E$5000,'Movimentações'!$B$5:$B$5000,A154,'Movimentações'!$D$5:$D$5000,"Entrada"))</f>
        <v/>
      </c>
      <c r="J154" s="16">
        <f>IF(A154="","",SUMIFS('Movimentações'!$E$5:$E$5000,'Movimentações'!$B$5:$B$5000,A154,'Movimentações'!$D$5:$D$5000,"Saída"))</f>
        <v/>
      </c>
      <c r="K154" s="16">
        <f>IF(A154="","",G154+I154-J154)</f>
        <v/>
      </c>
      <c r="L154" s="14">
        <f>IF(A154="","",IF(K154&lt;=0,"SEM ESTOQUE",IF(K154&lt;=H154,"REPOR","OK")))</f>
        <v/>
      </c>
      <c r="M154" s="15">
        <f>IF(A154="","",MAX(K154,0)*E154)</f>
        <v/>
      </c>
      <c r="N154" s="16">
        <f>IF(A154="","",IF(K154&lt;=H154,MAX(2*H154-K154,0),0))</f>
        <v/>
      </c>
      <c r="O154" s="17">
        <f>IF(OR(A154="",F154=0,F154=""),"",(F154-E154)/F154)</f>
        <v/>
      </c>
    </row>
    <row r="155">
      <c r="A155" s="14" t="n"/>
      <c r="B155" s="14" t="n"/>
      <c r="C155" s="14" t="n"/>
      <c r="D155" s="14" t="n"/>
      <c r="E155" s="15" t="n"/>
      <c r="F155" s="15" t="n"/>
      <c r="G155" s="16" t="n"/>
      <c r="H155" s="16" t="n"/>
      <c r="I155" s="16">
        <f>IF(A155="","",SUMIFS('Movimentações'!$E$5:$E$5000,'Movimentações'!$B$5:$B$5000,A155,'Movimentações'!$D$5:$D$5000,"Entrada"))</f>
        <v/>
      </c>
      <c r="J155" s="16">
        <f>IF(A155="","",SUMIFS('Movimentações'!$E$5:$E$5000,'Movimentações'!$B$5:$B$5000,A155,'Movimentações'!$D$5:$D$5000,"Saída"))</f>
        <v/>
      </c>
      <c r="K155" s="16">
        <f>IF(A155="","",G155+I155-J155)</f>
        <v/>
      </c>
      <c r="L155" s="14">
        <f>IF(A155="","",IF(K155&lt;=0,"SEM ESTOQUE",IF(K155&lt;=H155,"REPOR","OK")))</f>
        <v/>
      </c>
      <c r="M155" s="15">
        <f>IF(A155="","",MAX(K155,0)*E155)</f>
        <v/>
      </c>
      <c r="N155" s="16">
        <f>IF(A155="","",IF(K155&lt;=H155,MAX(2*H155-K155,0),0))</f>
        <v/>
      </c>
      <c r="O155" s="17">
        <f>IF(OR(A155="",F155=0,F155=""),"",(F155-E155)/F155)</f>
        <v/>
      </c>
    </row>
    <row r="156">
      <c r="A156" s="14" t="n"/>
      <c r="B156" s="14" t="n"/>
      <c r="C156" s="14" t="n"/>
      <c r="D156" s="14" t="n"/>
      <c r="E156" s="15" t="n"/>
      <c r="F156" s="15" t="n"/>
      <c r="G156" s="16" t="n"/>
      <c r="H156" s="16" t="n"/>
      <c r="I156" s="16">
        <f>IF(A156="","",SUMIFS('Movimentações'!$E$5:$E$5000,'Movimentações'!$B$5:$B$5000,A156,'Movimentações'!$D$5:$D$5000,"Entrada"))</f>
        <v/>
      </c>
      <c r="J156" s="16">
        <f>IF(A156="","",SUMIFS('Movimentações'!$E$5:$E$5000,'Movimentações'!$B$5:$B$5000,A156,'Movimentações'!$D$5:$D$5000,"Saída"))</f>
        <v/>
      </c>
      <c r="K156" s="16">
        <f>IF(A156="","",G156+I156-J156)</f>
        <v/>
      </c>
      <c r="L156" s="14">
        <f>IF(A156="","",IF(K156&lt;=0,"SEM ESTOQUE",IF(K156&lt;=H156,"REPOR","OK")))</f>
        <v/>
      </c>
      <c r="M156" s="15">
        <f>IF(A156="","",MAX(K156,0)*E156)</f>
        <v/>
      </c>
      <c r="N156" s="16">
        <f>IF(A156="","",IF(K156&lt;=H156,MAX(2*H156-K156,0),0))</f>
        <v/>
      </c>
      <c r="O156" s="17">
        <f>IF(OR(A156="",F156=0,F156=""),"",(F156-E156)/F156)</f>
        <v/>
      </c>
    </row>
    <row r="157">
      <c r="A157" s="14" t="n"/>
      <c r="B157" s="14" t="n"/>
      <c r="C157" s="14" t="n"/>
      <c r="D157" s="14" t="n"/>
      <c r="E157" s="15" t="n"/>
      <c r="F157" s="15" t="n"/>
      <c r="G157" s="16" t="n"/>
      <c r="H157" s="16" t="n"/>
      <c r="I157" s="16">
        <f>IF(A157="","",SUMIFS('Movimentações'!$E$5:$E$5000,'Movimentações'!$B$5:$B$5000,A157,'Movimentações'!$D$5:$D$5000,"Entrada"))</f>
        <v/>
      </c>
      <c r="J157" s="16">
        <f>IF(A157="","",SUMIFS('Movimentações'!$E$5:$E$5000,'Movimentações'!$B$5:$B$5000,A157,'Movimentações'!$D$5:$D$5000,"Saída"))</f>
        <v/>
      </c>
      <c r="K157" s="16">
        <f>IF(A157="","",G157+I157-J157)</f>
        <v/>
      </c>
      <c r="L157" s="14">
        <f>IF(A157="","",IF(K157&lt;=0,"SEM ESTOQUE",IF(K157&lt;=H157,"REPOR","OK")))</f>
        <v/>
      </c>
      <c r="M157" s="15">
        <f>IF(A157="","",MAX(K157,0)*E157)</f>
        <v/>
      </c>
      <c r="N157" s="16">
        <f>IF(A157="","",IF(K157&lt;=H157,MAX(2*H157-K157,0),0))</f>
        <v/>
      </c>
      <c r="O157" s="17">
        <f>IF(OR(A157="",F157=0,F157=""),"",(F157-E157)/F157)</f>
        <v/>
      </c>
    </row>
    <row r="158">
      <c r="A158" s="14" t="n"/>
      <c r="B158" s="14" t="n"/>
      <c r="C158" s="14" t="n"/>
      <c r="D158" s="14" t="n"/>
      <c r="E158" s="15" t="n"/>
      <c r="F158" s="15" t="n"/>
      <c r="G158" s="16" t="n"/>
      <c r="H158" s="16" t="n"/>
      <c r="I158" s="16">
        <f>IF(A158="","",SUMIFS('Movimentações'!$E$5:$E$5000,'Movimentações'!$B$5:$B$5000,A158,'Movimentações'!$D$5:$D$5000,"Entrada"))</f>
        <v/>
      </c>
      <c r="J158" s="16">
        <f>IF(A158="","",SUMIFS('Movimentações'!$E$5:$E$5000,'Movimentações'!$B$5:$B$5000,A158,'Movimentações'!$D$5:$D$5000,"Saída"))</f>
        <v/>
      </c>
      <c r="K158" s="16">
        <f>IF(A158="","",G158+I158-J158)</f>
        <v/>
      </c>
      <c r="L158" s="14">
        <f>IF(A158="","",IF(K158&lt;=0,"SEM ESTOQUE",IF(K158&lt;=H158,"REPOR","OK")))</f>
        <v/>
      </c>
      <c r="M158" s="15">
        <f>IF(A158="","",MAX(K158,0)*E158)</f>
        <v/>
      </c>
      <c r="N158" s="16">
        <f>IF(A158="","",IF(K158&lt;=H158,MAX(2*H158-K158,0),0))</f>
        <v/>
      </c>
      <c r="O158" s="17">
        <f>IF(OR(A158="",F158=0,F158=""),"",(F158-E158)/F158)</f>
        <v/>
      </c>
    </row>
    <row r="159">
      <c r="A159" s="14" t="n"/>
      <c r="B159" s="14" t="n"/>
      <c r="C159" s="14" t="n"/>
      <c r="D159" s="14" t="n"/>
      <c r="E159" s="15" t="n"/>
      <c r="F159" s="15" t="n"/>
      <c r="G159" s="16" t="n"/>
      <c r="H159" s="16" t="n"/>
      <c r="I159" s="16">
        <f>IF(A159="","",SUMIFS('Movimentações'!$E$5:$E$5000,'Movimentações'!$B$5:$B$5000,A159,'Movimentações'!$D$5:$D$5000,"Entrada"))</f>
        <v/>
      </c>
      <c r="J159" s="16">
        <f>IF(A159="","",SUMIFS('Movimentações'!$E$5:$E$5000,'Movimentações'!$B$5:$B$5000,A159,'Movimentações'!$D$5:$D$5000,"Saída"))</f>
        <v/>
      </c>
      <c r="K159" s="16">
        <f>IF(A159="","",G159+I159-J159)</f>
        <v/>
      </c>
      <c r="L159" s="14">
        <f>IF(A159="","",IF(K159&lt;=0,"SEM ESTOQUE",IF(K159&lt;=H159,"REPOR","OK")))</f>
        <v/>
      </c>
      <c r="M159" s="15">
        <f>IF(A159="","",MAX(K159,0)*E159)</f>
        <v/>
      </c>
      <c r="N159" s="16">
        <f>IF(A159="","",IF(K159&lt;=H159,MAX(2*H159-K159,0),0))</f>
        <v/>
      </c>
      <c r="O159" s="17">
        <f>IF(OR(A159="",F159=0,F159=""),"",(F159-E159)/F159)</f>
        <v/>
      </c>
    </row>
    <row r="160">
      <c r="A160" s="14" t="n"/>
      <c r="B160" s="14" t="n"/>
      <c r="C160" s="14" t="n"/>
      <c r="D160" s="14" t="n"/>
      <c r="E160" s="15" t="n"/>
      <c r="F160" s="15" t="n"/>
      <c r="G160" s="16" t="n"/>
      <c r="H160" s="16" t="n"/>
      <c r="I160" s="16">
        <f>IF(A160="","",SUMIFS('Movimentações'!$E$5:$E$5000,'Movimentações'!$B$5:$B$5000,A160,'Movimentações'!$D$5:$D$5000,"Entrada"))</f>
        <v/>
      </c>
      <c r="J160" s="16">
        <f>IF(A160="","",SUMIFS('Movimentações'!$E$5:$E$5000,'Movimentações'!$B$5:$B$5000,A160,'Movimentações'!$D$5:$D$5000,"Saída"))</f>
        <v/>
      </c>
      <c r="K160" s="16">
        <f>IF(A160="","",G160+I160-J160)</f>
        <v/>
      </c>
      <c r="L160" s="14">
        <f>IF(A160="","",IF(K160&lt;=0,"SEM ESTOQUE",IF(K160&lt;=H160,"REPOR","OK")))</f>
        <v/>
      </c>
      <c r="M160" s="15">
        <f>IF(A160="","",MAX(K160,0)*E160)</f>
        <v/>
      </c>
      <c r="N160" s="16">
        <f>IF(A160="","",IF(K160&lt;=H160,MAX(2*H160-K160,0),0))</f>
        <v/>
      </c>
      <c r="O160" s="17">
        <f>IF(OR(A160="",F160=0,F160=""),"",(F160-E160)/F160)</f>
        <v/>
      </c>
    </row>
    <row r="161">
      <c r="A161" s="14" t="n"/>
      <c r="B161" s="14" t="n"/>
      <c r="C161" s="14" t="n"/>
      <c r="D161" s="14" t="n"/>
      <c r="E161" s="15" t="n"/>
      <c r="F161" s="15" t="n"/>
      <c r="G161" s="16" t="n"/>
      <c r="H161" s="16" t="n"/>
      <c r="I161" s="16">
        <f>IF(A161="","",SUMIFS('Movimentações'!$E$5:$E$5000,'Movimentações'!$B$5:$B$5000,A161,'Movimentações'!$D$5:$D$5000,"Entrada"))</f>
        <v/>
      </c>
      <c r="J161" s="16">
        <f>IF(A161="","",SUMIFS('Movimentações'!$E$5:$E$5000,'Movimentações'!$B$5:$B$5000,A161,'Movimentações'!$D$5:$D$5000,"Saída"))</f>
        <v/>
      </c>
      <c r="K161" s="16">
        <f>IF(A161="","",G161+I161-J161)</f>
        <v/>
      </c>
      <c r="L161" s="14">
        <f>IF(A161="","",IF(K161&lt;=0,"SEM ESTOQUE",IF(K161&lt;=H161,"REPOR","OK")))</f>
        <v/>
      </c>
      <c r="M161" s="15">
        <f>IF(A161="","",MAX(K161,0)*E161)</f>
        <v/>
      </c>
      <c r="N161" s="16">
        <f>IF(A161="","",IF(K161&lt;=H161,MAX(2*H161-K161,0),0))</f>
        <v/>
      </c>
      <c r="O161" s="17">
        <f>IF(OR(A161="",F161=0,F161=""),"",(F161-E161)/F161)</f>
        <v/>
      </c>
    </row>
    <row r="162">
      <c r="A162" s="14" t="n"/>
      <c r="B162" s="14" t="n"/>
      <c r="C162" s="14" t="n"/>
      <c r="D162" s="14" t="n"/>
      <c r="E162" s="15" t="n"/>
      <c r="F162" s="15" t="n"/>
      <c r="G162" s="16" t="n"/>
      <c r="H162" s="16" t="n"/>
      <c r="I162" s="16">
        <f>IF(A162="","",SUMIFS('Movimentações'!$E$5:$E$5000,'Movimentações'!$B$5:$B$5000,A162,'Movimentações'!$D$5:$D$5000,"Entrada"))</f>
        <v/>
      </c>
      <c r="J162" s="16">
        <f>IF(A162="","",SUMIFS('Movimentações'!$E$5:$E$5000,'Movimentações'!$B$5:$B$5000,A162,'Movimentações'!$D$5:$D$5000,"Saída"))</f>
        <v/>
      </c>
      <c r="K162" s="16">
        <f>IF(A162="","",G162+I162-J162)</f>
        <v/>
      </c>
      <c r="L162" s="14">
        <f>IF(A162="","",IF(K162&lt;=0,"SEM ESTOQUE",IF(K162&lt;=H162,"REPOR","OK")))</f>
        <v/>
      </c>
      <c r="M162" s="15">
        <f>IF(A162="","",MAX(K162,0)*E162)</f>
        <v/>
      </c>
      <c r="N162" s="16">
        <f>IF(A162="","",IF(K162&lt;=H162,MAX(2*H162-K162,0),0))</f>
        <v/>
      </c>
      <c r="O162" s="17">
        <f>IF(OR(A162="",F162=0,F162=""),"",(F162-E162)/F162)</f>
        <v/>
      </c>
    </row>
    <row r="163">
      <c r="A163" s="14" t="n"/>
      <c r="B163" s="14" t="n"/>
      <c r="C163" s="14" t="n"/>
      <c r="D163" s="14" t="n"/>
      <c r="E163" s="15" t="n"/>
      <c r="F163" s="15" t="n"/>
      <c r="G163" s="16" t="n"/>
      <c r="H163" s="16" t="n"/>
      <c r="I163" s="16">
        <f>IF(A163="","",SUMIFS('Movimentações'!$E$5:$E$5000,'Movimentações'!$B$5:$B$5000,A163,'Movimentações'!$D$5:$D$5000,"Entrada"))</f>
        <v/>
      </c>
      <c r="J163" s="16">
        <f>IF(A163="","",SUMIFS('Movimentações'!$E$5:$E$5000,'Movimentações'!$B$5:$B$5000,A163,'Movimentações'!$D$5:$D$5000,"Saída"))</f>
        <v/>
      </c>
      <c r="K163" s="16">
        <f>IF(A163="","",G163+I163-J163)</f>
        <v/>
      </c>
      <c r="L163" s="14">
        <f>IF(A163="","",IF(K163&lt;=0,"SEM ESTOQUE",IF(K163&lt;=H163,"REPOR","OK")))</f>
        <v/>
      </c>
      <c r="M163" s="15">
        <f>IF(A163="","",MAX(K163,0)*E163)</f>
        <v/>
      </c>
      <c r="N163" s="16">
        <f>IF(A163="","",IF(K163&lt;=H163,MAX(2*H163-K163,0),0))</f>
        <v/>
      </c>
      <c r="O163" s="17">
        <f>IF(OR(A163="",F163=0,F163=""),"",(F163-E163)/F163)</f>
        <v/>
      </c>
    </row>
    <row r="164">
      <c r="A164" s="14" t="n"/>
      <c r="B164" s="14" t="n"/>
      <c r="C164" s="14" t="n"/>
      <c r="D164" s="14" t="n"/>
      <c r="E164" s="15" t="n"/>
      <c r="F164" s="15" t="n"/>
      <c r="G164" s="16" t="n"/>
      <c r="H164" s="16" t="n"/>
      <c r="I164" s="16">
        <f>IF(A164="","",SUMIFS('Movimentações'!$E$5:$E$5000,'Movimentações'!$B$5:$B$5000,A164,'Movimentações'!$D$5:$D$5000,"Entrada"))</f>
        <v/>
      </c>
      <c r="J164" s="16">
        <f>IF(A164="","",SUMIFS('Movimentações'!$E$5:$E$5000,'Movimentações'!$B$5:$B$5000,A164,'Movimentações'!$D$5:$D$5000,"Saída"))</f>
        <v/>
      </c>
      <c r="K164" s="16">
        <f>IF(A164="","",G164+I164-J164)</f>
        <v/>
      </c>
      <c r="L164" s="14">
        <f>IF(A164="","",IF(K164&lt;=0,"SEM ESTOQUE",IF(K164&lt;=H164,"REPOR","OK")))</f>
        <v/>
      </c>
      <c r="M164" s="15">
        <f>IF(A164="","",MAX(K164,0)*E164)</f>
        <v/>
      </c>
      <c r="N164" s="16">
        <f>IF(A164="","",IF(K164&lt;=H164,MAX(2*H164-K164,0),0))</f>
        <v/>
      </c>
      <c r="O164" s="17">
        <f>IF(OR(A164="",F164=0,F164=""),"",(F164-E164)/F164)</f>
        <v/>
      </c>
    </row>
    <row r="165">
      <c r="A165" s="14" t="n"/>
      <c r="B165" s="14" t="n"/>
      <c r="C165" s="14" t="n"/>
      <c r="D165" s="14" t="n"/>
      <c r="E165" s="15" t="n"/>
      <c r="F165" s="15" t="n"/>
      <c r="G165" s="16" t="n"/>
      <c r="H165" s="16" t="n"/>
      <c r="I165" s="16">
        <f>IF(A165="","",SUMIFS('Movimentações'!$E$5:$E$5000,'Movimentações'!$B$5:$B$5000,A165,'Movimentações'!$D$5:$D$5000,"Entrada"))</f>
        <v/>
      </c>
      <c r="J165" s="16">
        <f>IF(A165="","",SUMIFS('Movimentações'!$E$5:$E$5000,'Movimentações'!$B$5:$B$5000,A165,'Movimentações'!$D$5:$D$5000,"Saída"))</f>
        <v/>
      </c>
      <c r="K165" s="16">
        <f>IF(A165="","",G165+I165-J165)</f>
        <v/>
      </c>
      <c r="L165" s="14">
        <f>IF(A165="","",IF(K165&lt;=0,"SEM ESTOQUE",IF(K165&lt;=H165,"REPOR","OK")))</f>
        <v/>
      </c>
      <c r="M165" s="15">
        <f>IF(A165="","",MAX(K165,0)*E165)</f>
        <v/>
      </c>
      <c r="N165" s="16">
        <f>IF(A165="","",IF(K165&lt;=H165,MAX(2*H165-K165,0),0))</f>
        <v/>
      </c>
      <c r="O165" s="17">
        <f>IF(OR(A165="",F165=0,F165=""),"",(F165-E165)/F165)</f>
        <v/>
      </c>
    </row>
    <row r="166">
      <c r="A166" s="14" t="n"/>
      <c r="B166" s="14" t="n"/>
      <c r="C166" s="14" t="n"/>
      <c r="D166" s="14" t="n"/>
      <c r="E166" s="15" t="n"/>
      <c r="F166" s="15" t="n"/>
      <c r="G166" s="16" t="n"/>
      <c r="H166" s="16" t="n"/>
      <c r="I166" s="16">
        <f>IF(A166="","",SUMIFS('Movimentações'!$E$5:$E$5000,'Movimentações'!$B$5:$B$5000,A166,'Movimentações'!$D$5:$D$5000,"Entrada"))</f>
        <v/>
      </c>
      <c r="J166" s="16">
        <f>IF(A166="","",SUMIFS('Movimentações'!$E$5:$E$5000,'Movimentações'!$B$5:$B$5000,A166,'Movimentações'!$D$5:$D$5000,"Saída"))</f>
        <v/>
      </c>
      <c r="K166" s="16">
        <f>IF(A166="","",G166+I166-J166)</f>
        <v/>
      </c>
      <c r="L166" s="14">
        <f>IF(A166="","",IF(K166&lt;=0,"SEM ESTOQUE",IF(K166&lt;=H166,"REPOR","OK")))</f>
        <v/>
      </c>
      <c r="M166" s="15">
        <f>IF(A166="","",MAX(K166,0)*E166)</f>
        <v/>
      </c>
      <c r="N166" s="16">
        <f>IF(A166="","",IF(K166&lt;=H166,MAX(2*H166-K166,0),0))</f>
        <v/>
      </c>
      <c r="O166" s="17">
        <f>IF(OR(A166="",F166=0,F166=""),"",(F166-E166)/F166)</f>
        <v/>
      </c>
    </row>
    <row r="167">
      <c r="A167" s="14" t="n"/>
      <c r="B167" s="14" t="n"/>
      <c r="C167" s="14" t="n"/>
      <c r="D167" s="14" t="n"/>
      <c r="E167" s="15" t="n"/>
      <c r="F167" s="15" t="n"/>
      <c r="G167" s="16" t="n"/>
      <c r="H167" s="16" t="n"/>
      <c r="I167" s="16">
        <f>IF(A167="","",SUMIFS('Movimentações'!$E$5:$E$5000,'Movimentações'!$B$5:$B$5000,A167,'Movimentações'!$D$5:$D$5000,"Entrada"))</f>
        <v/>
      </c>
      <c r="J167" s="16">
        <f>IF(A167="","",SUMIFS('Movimentações'!$E$5:$E$5000,'Movimentações'!$B$5:$B$5000,A167,'Movimentações'!$D$5:$D$5000,"Saída"))</f>
        <v/>
      </c>
      <c r="K167" s="16">
        <f>IF(A167="","",G167+I167-J167)</f>
        <v/>
      </c>
      <c r="L167" s="14">
        <f>IF(A167="","",IF(K167&lt;=0,"SEM ESTOQUE",IF(K167&lt;=H167,"REPOR","OK")))</f>
        <v/>
      </c>
      <c r="M167" s="15">
        <f>IF(A167="","",MAX(K167,0)*E167)</f>
        <v/>
      </c>
      <c r="N167" s="16">
        <f>IF(A167="","",IF(K167&lt;=H167,MAX(2*H167-K167,0),0))</f>
        <v/>
      </c>
      <c r="O167" s="17">
        <f>IF(OR(A167="",F167=0,F167=""),"",(F167-E167)/F167)</f>
        <v/>
      </c>
    </row>
    <row r="168">
      <c r="A168" s="14" t="n"/>
      <c r="B168" s="14" t="n"/>
      <c r="C168" s="14" t="n"/>
      <c r="D168" s="14" t="n"/>
      <c r="E168" s="15" t="n"/>
      <c r="F168" s="15" t="n"/>
      <c r="G168" s="16" t="n"/>
      <c r="H168" s="16" t="n"/>
      <c r="I168" s="16">
        <f>IF(A168="","",SUMIFS('Movimentações'!$E$5:$E$5000,'Movimentações'!$B$5:$B$5000,A168,'Movimentações'!$D$5:$D$5000,"Entrada"))</f>
        <v/>
      </c>
      <c r="J168" s="16">
        <f>IF(A168="","",SUMIFS('Movimentações'!$E$5:$E$5000,'Movimentações'!$B$5:$B$5000,A168,'Movimentações'!$D$5:$D$5000,"Saída"))</f>
        <v/>
      </c>
      <c r="K168" s="16">
        <f>IF(A168="","",G168+I168-J168)</f>
        <v/>
      </c>
      <c r="L168" s="14">
        <f>IF(A168="","",IF(K168&lt;=0,"SEM ESTOQUE",IF(K168&lt;=H168,"REPOR","OK")))</f>
        <v/>
      </c>
      <c r="M168" s="15">
        <f>IF(A168="","",MAX(K168,0)*E168)</f>
        <v/>
      </c>
      <c r="N168" s="16">
        <f>IF(A168="","",IF(K168&lt;=H168,MAX(2*H168-K168,0),0))</f>
        <v/>
      </c>
      <c r="O168" s="17">
        <f>IF(OR(A168="",F168=0,F168=""),"",(F168-E168)/F168)</f>
        <v/>
      </c>
    </row>
    <row r="169">
      <c r="A169" s="14" t="n"/>
      <c r="B169" s="14" t="n"/>
      <c r="C169" s="14" t="n"/>
      <c r="D169" s="14" t="n"/>
      <c r="E169" s="15" t="n"/>
      <c r="F169" s="15" t="n"/>
      <c r="G169" s="16" t="n"/>
      <c r="H169" s="16" t="n"/>
      <c r="I169" s="16">
        <f>IF(A169="","",SUMIFS('Movimentações'!$E$5:$E$5000,'Movimentações'!$B$5:$B$5000,A169,'Movimentações'!$D$5:$D$5000,"Entrada"))</f>
        <v/>
      </c>
      <c r="J169" s="16">
        <f>IF(A169="","",SUMIFS('Movimentações'!$E$5:$E$5000,'Movimentações'!$B$5:$B$5000,A169,'Movimentações'!$D$5:$D$5000,"Saída"))</f>
        <v/>
      </c>
      <c r="K169" s="16">
        <f>IF(A169="","",G169+I169-J169)</f>
        <v/>
      </c>
      <c r="L169" s="14">
        <f>IF(A169="","",IF(K169&lt;=0,"SEM ESTOQUE",IF(K169&lt;=H169,"REPOR","OK")))</f>
        <v/>
      </c>
      <c r="M169" s="15">
        <f>IF(A169="","",MAX(K169,0)*E169)</f>
        <v/>
      </c>
      <c r="N169" s="16">
        <f>IF(A169="","",IF(K169&lt;=H169,MAX(2*H169-K169,0),0))</f>
        <v/>
      </c>
      <c r="O169" s="17">
        <f>IF(OR(A169="",F169=0,F169=""),"",(F169-E169)/F169)</f>
        <v/>
      </c>
    </row>
    <row r="170">
      <c r="A170" s="14" t="n"/>
      <c r="B170" s="14" t="n"/>
      <c r="C170" s="14" t="n"/>
      <c r="D170" s="14" t="n"/>
      <c r="E170" s="15" t="n"/>
      <c r="F170" s="15" t="n"/>
      <c r="G170" s="16" t="n"/>
      <c r="H170" s="16" t="n"/>
      <c r="I170" s="16">
        <f>IF(A170="","",SUMIFS('Movimentações'!$E$5:$E$5000,'Movimentações'!$B$5:$B$5000,A170,'Movimentações'!$D$5:$D$5000,"Entrada"))</f>
        <v/>
      </c>
      <c r="J170" s="16">
        <f>IF(A170="","",SUMIFS('Movimentações'!$E$5:$E$5000,'Movimentações'!$B$5:$B$5000,A170,'Movimentações'!$D$5:$D$5000,"Saída"))</f>
        <v/>
      </c>
      <c r="K170" s="16">
        <f>IF(A170="","",G170+I170-J170)</f>
        <v/>
      </c>
      <c r="L170" s="14">
        <f>IF(A170="","",IF(K170&lt;=0,"SEM ESTOQUE",IF(K170&lt;=H170,"REPOR","OK")))</f>
        <v/>
      </c>
      <c r="M170" s="15">
        <f>IF(A170="","",MAX(K170,0)*E170)</f>
        <v/>
      </c>
      <c r="N170" s="16">
        <f>IF(A170="","",IF(K170&lt;=H170,MAX(2*H170-K170,0),0))</f>
        <v/>
      </c>
      <c r="O170" s="17">
        <f>IF(OR(A170="",F170=0,F170=""),"",(F170-E170)/F170)</f>
        <v/>
      </c>
    </row>
    <row r="171">
      <c r="A171" s="14" t="n"/>
      <c r="B171" s="14" t="n"/>
      <c r="C171" s="14" t="n"/>
      <c r="D171" s="14" t="n"/>
      <c r="E171" s="15" t="n"/>
      <c r="F171" s="15" t="n"/>
      <c r="G171" s="16" t="n"/>
      <c r="H171" s="16" t="n"/>
      <c r="I171" s="16">
        <f>IF(A171="","",SUMIFS('Movimentações'!$E$5:$E$5000,'Movimentações'!$B$5:$B$5000,A171,'Movimentações'!$D$5:$D$5000,"Entrada"))</f>
        <v/>
      </c>
      <c r="J171" s="16">
        <f>IF(A171="","",SUMIFS('Movimentações'!$E$5:$E$5000,'Movimentações'!$B$5:$B$5000,A171,'Movimentações'!$D$5:$D$5000,"Saída"))</f>
        <v/>
      </c>
      <c r="K171" s="16">
        <f>IF(A171="","",G171+I171-J171)</f>
        <v/>
      </c>
      <c r="L171" s="14">
        <f>IF(A171="","",IF(K171&lt;=0,"SEM ESTOQUE",IF(K171&lt;=H171,"REPOR","OK")))</f>
        <v/>
      </c>
      <c r="M171" s="15">
        <f>IF(A171="","",MAX(K171,0)*E171)</f>
        <v/>
      </c>
      <c r="N171" s="16">
        <f>IF(A171="","",IF(K171&lt;=H171,MAX(2*H171-K171,0),0))</f>
        <v/>
      </c>
      <c r="O171" s="17">
        <f>IF(OR(A171="",F171=0,F171=""),"",(F171-E171)/F171)</f>
        <v/>
      </c>
    </row>
    <row r="172">
      <c r="A172" s="14" t="n"/>
      <c r="B172" s="14" t="n"/>
      <c r="C172" s="14" t="n"/>
      <c r="D172" s="14" t="n"/>
      <c r="E172" s="15" t="n"/>
      <c r="F172" s="15" t="n"/>
      <c r="G172" s="16" t="n"/>
      <c r="H172" s="16" t="n"/>
      <c r="I172" s="16">
        <f>IF(A172="","",SUMIFS('Movimentações'!$E$5:$E$5000,'Movimentações'!$B$5:$B$5000,A172,'Movimentações'!$D$5:$D$5000,"Entrada"))</f>
        <v/>
      </c>
      <c r="J172" s="16">
        <f>IF(A172="","",SUMIFS('Movimentações'!$E$5:$E$5000,'Movimentações'!$B$5:$B$5000,A172,'Movimentações'!$D$5:$D$5000,"Saída"))</f>
        <v/>
      </c>
      <c r="K172" s="16">
        <f>IF(A172="","",G172+I172-J172)</f>
        <v/>
      </c>
      <c r="L172" s="14">
        <f>IF(A172="","",IF(K172&lt;=0,"SEM ESTOQUE",IF(K172&lt;=H172,"REPOR","OK")))</f>
        <v/>
      </c>
      <c r="M172" s="15">
        <f>IF(A172="","",MAX(K172,0)*E172)</f>
        <v/>
      </c>
      <c r="N172" s="16">
        <f>IF(A172="","",IF(K172&lt;=H172,MAX(2*H172-K172,0),0))</f>
        <v/>
      </c>
      <c r="O172" s="17">
        <f>IF(OR(A172="",F172=0,F172=""),"",(F172-E172)/F172)</f>
        <v/>
      </c>
    </row>
    <row r="173">
      <c r="A173" s="14" t="n"/>
      <c r="B173" s="14" t="n"/>
      <c r="C173" s="14" t="n"/>
      <c r="D173" s="14" t="n"/>
      <c r="E173" s="15" t="n"/>
      <c r="F173" s="15" t="n"/>
      <c r="G173" s="16" t="n"/>
      <c r="H173" s="16" t="n"/>
      <c r="I173" s="16">
        <f>IF(A173="","",SUMIFS('Movimentações'!$E$5:$E$5000,'Movimentações'!$B$5:$B$5000,A173,'Movimentações'!$D$5:$D$5000,"Entrada"))</f>
        <v/>
      </c>
      <c r="J173" s="16">
        <f>IF(A173="","",SUMIFS('Movimentações'!$E$5:$E$5000,'Movimentações'!$B$5:$B$5000,A173,'Movimentações'!$D$5:$D$5000,"Saída"))</f>
        <v/>
      </c>
      <c r="K173" s="16">
        <f>IF(A173="","",G173+I173-J173)</f>
        <v/>
      </c>
      <c r="L173" s="14">
        <f>IF(A173="","",IF(K173&lt;=0,"SEM ESTOQUE",IF(K173&lt;=H173,"REPOR","OK")))</f>
        <v/>
      </c>
      <c r="M173" s="15">
        <f>IF(A173="","",MAX(K173,0)*E173)</f>
        <v/>
      </c>
      <c r="N173" s="16">
        <f>IF(A173="","",IF(K173&lt;=H173,MAX(2*H173-K173,0),0))</f>
        <v/>
      </c>
      <c r="O173" s="17">
        <f>IF(OR(A173="",F173=0,F173=""),"",(F173-E173)/F173)</f>
        <v/>
      </c>
    </row>
    <row r="174">
      <c r="A174" s="14" t="n"/>
      <c r="B174" s="14" t="n"/>
      <c r="C174" s="14" t="n"/>
      <c r="D174" s="14" t="n"/>
      <c r="E174" s="15" t="n"/>
      <c r="F174" s="15" t="n"/>
      <c r="G174" s="16" t="n"/>
      <c r="H174" s="16" t="n"/>
      <c r="I174" s="16">
        <f>IF(A174="","",SUMIFS('Movimentações'!$E$5:$E$5000,'Movimentações'!$B$5:$B$5000,A174,'Movimentações'!$D$5:$D$5000,"Entrada"))</f>
        <v/>
      </c>
      <c r="J174" s="16">
        <f>IF(A174="","",SUMIFS('Movimentações'!$E$5:$E$5000,'Movimentações'!$B$5:$B$5000,A174,'Movimentações'!$D$5:$D$5000,"Saída"))</f>
        <v/>
      </c>
      <c r="K174" s="16">
        <f>IF(A174="","",G174+I174-J174)</f>
        <v/>
      </c>
      <c r="L174" s="14">
        <f>IF(A174="","",IF(K174&lt;=0,"SEM ESTOQUE",IF(K174&lt;=H174,"REPOR","OK")))</f>
        <v/>
      </c>
      <c r="M174" s="15">
        <f>IF(A174="","",MAX(K174,0)*E174)</f>
        <v/>
      </c>
      <c r="N174" s="16">
        <f>IF(A174="","",IF(K174&lt;=H174,MAX(2*H174-K174,0),0))</f>
        <v/>
      </c>
      <c r="O174" s="17">
        <f>IF(OR(A174="",F174=0,F174=""),"",(F174-E174)/F174)</f>
        <v/>
      </c>
    </row>
    <row r="175">
      <c r="A175" s="14" t="n"/>
      <c r="B175" s="14" t="n"/>
      <c r="C175" s="14" t="n"/>
      <c r="D175" s="14" t="n"/>
      <c r="E175" s="15" t="n"/>
      <c r="F175" s="15" t="n"/>
      <c r="G175" s="16" t="n"/>
      <c r="H175" s="16" t="n"/>
      <c r="I175" s="16">
        <f>IF(A175="","",SUMIFS('Movimentações'!$E$5:$E$5000,'Movimentações'!$B$5:$B$5000,A175,'Movimentações'!$D$5:$D$5000,"Entrada"))</f>
        <v/>
      </c>
      <c r="J175" s="16">
        <f>IF(A175="","",SUMIFS('Movimentações'!$E$5:$E$5000,'Movimentações'!$B$5:$B$5000,A175,'Movimentações'!$D$5:$D$5000,"Saída"))</f>
        <v/>
      </c>
      <c r="K175" s="16">
        <f>IF(A175="","",G175+I175-J175)</f>
        <v/>
      </c>
      <c r="L175" s="14">
        <f>IF(A175="","",IF(K175&lt;=0,"SEM ESTOQUE",IF(K175&lt;=H175,"REPOR","OK")))</f>
        <v/>
      </c>
      <c r="M175" s="15">
        <f>IF(A175="","",MAX(K175,0)*E175)</f>
        <v/>
      </c>
      <c r="N175" s="16">
        <f>IF(A175="","",IF(K175&lt;=H175,MAX(2*H175-K175,0),0))</f>
        <v/>
      </c>
      <c r="O175" s="17">
        <f>IF(OR(A175="",F175=0,F175=""),"",(F175-E175)/F175)</f>
        <v/>
      </c>
    </row>
    <row r="176">
      <c r="A176" s="14" t="n"/>
      <c r="B176" s="14" t="n"/>
      <c r="C176" s="14" t="n"/>
      <c r="D176" s="14" t="n"/>
      <c r="E176" s="15" t="n"/>
      <c r="F176" s="15" t="n"/>
      <c r="G176" s="16" t="n"/>
      <c r="H176" s="16" t="n"/>
      <c r="I176" s="16">
        <f>IF(A176="","",SUMIFS('Movimentações'!$E$5:$E$5000,'Movimentações'!$B$5:$B$5000,A176,'Movimentações'!$D$5:$D$5000,"Entrada"))</f>
        <v/>
      </c>
      <c r="J176" s="16">
        <f>IF(A176="","",SUMIFS('Movimentações'!$E$5:$E$5000,'Movimentações'!$B$5:$B$5000,A176,'Movimentações'!$D$5:$D$5000,"Saída"))</f>
        <v/>
      </c>
      <c r="K176" s="16">
        <f>IF(A176="","",G176+I176-J176)</f>
        <v/>
      </c>
      <c r="L176" s="14">
        <f>IF(A176="","",IF(K176&lt;=0,"SEM ESTOQUE",IF(K176&lt;=H176,"REPOR","OK")))</f>
        <v/>
      </c>
      <c r="M176" s="15">
        <f>IF(A176="","",MAX(K176,0)*E176)</f>
        <v/>
      </c>
      <c r="N176" s="16">
        <f>IF(A176="","",IF(K176&lt;=H176,MAX(2*H176-K176,0),0))</f>
        <v/>
      </c>
      <c r="O176" s="17">
        <f>IF(OR(A176="",F176=0,F176=""),"",(F176-E176)/F176)</f>
        <v/>
      </c>
    </row>
    <row r="177">
      <c r="A177" s="14" t="n"/>
      <c r="B177" s="14" t="n"/>
      <c r="C177" s="14" t="n"/>
      <c r="D177" s="14" t="n"/>
      <c r="E177" s="15" t="n"/>
      <c r="F177" s="15" t="n"/>
      <c r="G177" s="16" t="n"/>
      <c r="H177" s="16" t="n"/>
      <c r="I177" s="16">
        <f>IF(A177="","",SUMIFS('Movimentações'!$E$5:$E$5000,'Movimentações'!$B$5:$B$5000,A177,'Movimentações'!$D$5:$D$5000,"Entrada"))</f>
        <v/>
      </c>
      <c r="J177" s="16">
        <f>IF(A177="","",SUMIFS('Movimentações'!$E$5:$E$5000,'Movimentações'!$B$5:$B$5000,A177,'Movimentações'!$D$5:$D$5000,"Saída"))</f>
        <v/>
      </c>
      <c r="K177" s="16">
        <f>IF(A177="","",G177+I177-J177)</f>
        <v/>
      </c>
      <c r="L177" s="14">
        <f>IF(A177="","",IF(K177&lt;=0,"SEM ESTOQUE",IF(K177&lt;=H177,"REPOR","OK")))</f>
        <v/>
      </c>
      <c r="M177" s="15">
        <f>IF(A177="","",MAX(K177,0)*E177)</f>
        <v/>
      </c>
      <c r="N177" s="16">
        <f>IF(A177="","",IF(K177&lt;=H177,MAX(2*H177-K177,0),0))</f>
        <v/>
      </c>
      <c r="O177" s="17">
        <f>IF(OR(A177="",F177=0,F177=""),"",(F177-E177)/F177)</f>
        <v/>
      </c>
    </row>
    <row r="178">
      <c r="A178" s="14" t="n"/>
      <c r="B178" s="14" t="n"/>
      <c r="C178" s="14" t="n"/>
      <c r="D178" s="14" t="n"/>
      <c r="E178" s="15" t="n"/>
      <c r="F178" s="15" t="n"/>
      <c r="G178" s="16" t="n"/>
      <c r="H178" s="16" t="n"/>
      <c r="I178" s="16">
        <f>IF(A178="","",SUMIFS('Movimentações'!$E$5:$E$5000,'Movimentações'!$B$5:$B$5000,A178,'Movimentações'!$D$5:$D$5000,"Entrada"))</f>
        <v/>
      </c>
      <c r="J178" s="16">
        <f>IF(A178="","",SUMIFS('Movimentações'!$E$5:$E$5000,'Movimentações'!$B$5:$B$5000,A178,'Movimentações'!$D$5:$D$5000,"Saída"))</f>
        <v/>
      </c>
      <c r="K178" s="16">
        <f>IF(A178="","",G178+I178-J178)</f>
        <v/>
      </c>
      <c r="L178" s="14">
        <f>IF(A178="","",IF(K178&lt;=0,"SEM ESTOQUE",IF(K178&lt;=H178,"REPOR","OK")))</f>
        <v/>
      </c>
      <c r="M178" s="15">
        <f>IF(A178="","",MAX(K178,0)*E178)</f>
        <v/>
      </c>
      <c r="N178" s="16">
        <f>IF(A178="","",IF(K178&lt;=H178,MAX(2*H178-K178,0),0))</f>
        <v/>
      </c>
      <c r="O178" s="17">
        <f>IF(OR(A178="",F178=0,F178=""),"",(F178-E178)/F178)</f>
        <v/>
      </c>
    </row>
    <row r="179">
      <c r="A179" s="14" t="n"/>
      <c r="B179" s="14" t="n"/>
      <c r="C179" s="14" t="n"/>
      <c r="D179" s="14" t="n"/>
      <c r="E179" s="15" t="n"/>
      <c r="F179" s="15" t="n"/>
      <c r="G179" s="16" t="n"/>
      <c r="H179" s="16" t="n"/>
      <c r="I179" s="16">
        <f>IF(A179="","",SUMIFS('Movimentações'!$E$5:$E$5000,'Movimentações'!$B$5:$B$5000,A179,'Movimentações'!$D$5:$D$5000,"Entrada"))</f>
        <v/>
      </c>
      <c r="J179" s="16">
        <f>IF(A179="","",SUMIFS('Movimentações'!$E$5:$E$5000,'Movimentações'!$B$5:$B$5000,A179,'Movimentações'!$D$5:$D$5000,"Saída"))</f>
        <v/>
      </c>
      <c r="K179" s="16">
        <f>IF(A179="","",G179+I179-J179)</f>
        <v/>
      </c>
      <c r="L179" s="14">
        <f>IF(A179="","",IF(K179&lt;=0,"SEM ESTOQUE",IF(K179&lt;=H179,"REPOR","OK")))</f>
        <v/>
      </c>
      <c r="M179" s="15">
        <f>IF(A179="","",MAX(K179,0)*E179)</f>
        <v/>
      </c>
      <c r="N179" s="16">
        <f>IF(A179="","",IF(K179&lt;=H179,MAX(2*H179-K179,0),0))</f>
        <v/>
      </c>
      <c r="O179" s="17">
        <f>IF(OR(A179="",F179=0,F179=""),"",(F179-E179)/F179)</f>
        <v/>
      </c>
    </row>
    <row r="180">
      <c r="A180" s="14" t="n"/>
      <c r="B180" s="14" t="n"/>
      <c r="C180" s="14" t="n"/>
      <c r="D180" s="14" t="n"/>
      <c r="E180" s="15" t="n"/>
      <c r="F180" s="15" t="n"/>
      <c r="G180" s="16" t="n"/>
      <c r="H180" s="16" t="n"/>
      <c r="I180" s="16">
        <f>IF(A180="","",SUMIFS('Movimentações'!$E$5:$E$5000,'Movimentações'!$B$5:$B$5000,A180,'Movimentações'!$D$5:$D$5000,"Entrada"))</f>
        <v/>
      </c>
      <c r="J180" s="16">
        <f>IF(A180="","",SUMIFS('Movimentações'!$E$5:$E$5000,'Movimentações'!$B$5:$B$5000,A180,'Movimentações'!$D$5:$D$5000,"Saída"))</f>
        <v/>
      </c>
      <c r="K180" s="16">
        <f>IF(A180="","",G180+I180-J180)</f>
        <v/>
      </c>
      <c r="L180" s="14">
        <f>IF(A180="","",IF(K180&lt;=0,"SEM ESTOQUE",IF(K180&lt;=H180,"REPOR","OK")))</f>
        <v/>
      </c>
      <c r="M180" s="15">
        <f>IF(A180="","",MAX(K180,0)*E180)</f>
        <v/>
      </c>
      <c r="N180" s="16">
        <f>IF(A180="","",IF(K180&lt;=H180,MAX(2*H180-K180,0),0))</f>
        <v/>
      </c>
      <c r="O180" s="17">
        <f>IF(OR(A180="",F180=0,F180=""),"",(F180-E180)/F180)</f>
        <v/>
      </c>
    </row>
    <row r="181">
      <c r="A181" s="14" t="n"/>
      <c r="B181" s="14" t="n"/>
      <c r="C181" s="14" t="n"/>
      <c r="D181" s="14" t="n"/>
      <c r="E181" s="15" t="n"/>
      <c r="F181" s="15" t="n"/>
      <c r="G181" s="16" t="n"/>
      <c r="H181" s="16" t="n"/>
      <c r="I181" s="16">
        <f>IF(A181="","",SUMIFS('Movimentações'!$E$5:$E$5000,'Movimentações'!$B$5:$B$5000,A181,'Movimentações'!$D$5:$D$5000,"Entrada"))</f>
        <v/>
      </c>
      <c r="J181" s="16">
        <f>IF(A181="","",SUMIFS('Movimentações'!$E$5:$E$5000,'Movimentações'!$B$5:$B$5000,A181,'Movimentações'!$D$5:$D$5000,"Saída"))</f>
        <v/>
      </c>
      <c r="K181" s="16">
        <f>IF(A181="","",G181+I181-J181)</f>
        <v/>
      </c>
      <c r="L181" s="14">
        <f>IF(A181="","",IF(K181&lt;=0,"SEM ESTOQUE",IF(K181&lt;=H181,"REPOR","OK")))</f>
        <v/>
      </c>
      <c r="M181" s="15">
        <f>IF(A181="","",MAX(K181,0)*E181)</f>
        <v/>
      </c>
      <c r="N181" s="16">
        <f>IF(A181="","",IF(K181&lt;=H181,MAX(2*H181-K181,0),0))</f>
        <v/>
      </c>
      <c r="O181" s="17">
        <f>IF(OR(A181="",F181=0,F181=""),"",(F181-E181)/F181)</f>
        <v/>
      </c>
    </row>
    <row r="182">
      <c r="A182" s="14" t="n"/>
      <c r="B182" s="14" t="n"/>
      <c r="C182" s="14" t="n"/>
      <c r="D182" s="14" t="n"/>
      <c r="E182" s="15" t="n"/>
      <c r="F182" s="15" t="n"/>
      <c r="G182" s="16" t="n"/>
      <c r="H182" s="16" t="n"/>
      <c r="I182" s="16">
        <f>IF(A182="","",SUMIFS('Movimentações'!$E$5:$E$5000,'Movimentações'!$B$5:$B$5000,A182,'Movimentações'!$D$5:$D$5000,"Entrada"))</f>
        <v/>
      </c>
      <c r="J182" s="16">
        <f>IF(A182="","",SUMIFS('Movimentações'!$E$5:$E$5000,'Movimentações'!$B$5:$B$5000,A182,'Movimentações'!$D$5:$D$5000,"Saída"))</f>
        <v/>
      </c>
      <c r="K182" s="16">
        <f>IF(A182="","",G182+I182-J182)</f>
        <v/>
      </c>
      <c r="L182" s="14">
        <f>IF(A182="","",IF(K182&lt;=0,"SEM ESTOQUE",IF(K182&lt;=H182,"REPOR","OK")))</f>
        <v/>
      </c>
      <c r="M182" s="15">
        <f>IF(A182="","",MAX(K182,0)*E182)</f>
        <v/>
      </c>
      <c r="N182" s="16">
        <f>IF(A182="","",IF(K182&lt;=H182,MAX(2*H182-K182,0),0))</f>
        <v/>
      </c>
      <c r="O182" s="17">
        <f>IF(OR(A182="",F182=0,F182=""),"",(F182-E182)/F182)</f>
        <v/>
      </c>
    </row>
    <row r="183">
      <c r="A183" s="14" t="n"/>
      <c r="B183" s="14" t="n"/>
      <c r="C183" s="14" t="n"/>
      <c r="D183" s="14" t="n"/>
      <c r="E183" s="15" t="n"/>
      <c r="F183" s="15" t="n"/>
      <c r="G183" s="16" t="n"/>
      <c r="H183" s="16" t="n"/>
      <c r="I183" s="16">
        <f>IF(A183="","",SUMIFS('Movimentações'!$E$5:$E$5000,'Movimentações'!$B$5:$B$5000,A183,'Movimentações'!$D$5:$D$5000,"Entrada"))</f>
        <v/>
      </c>
      <c r="J183" s="16">
        <f>IF(A183="","",SUMIFS('Movimentações'!$E$5:$E$5000,'Movimentações'!$B$5:$B$5000,A183,'Movimentações'!$D$5:$D$5000,"Saída"))</f>
        <v/>
      </c>
      <c r="K183" s="16">
        <f>IF(A183="","",G183+I183-J183)</f>
        <v/>
      </c>
      <c r="L183" s="14">
        <f>IF(A183="","",IF(K183&lt;=0,"SEM ESTOQUE",IF(K183&lt;=H183,"REPOR","OK")))</f>
        <v/>
      </c>
      <c r="M183" s="15">
        <f>IF(A183="","",MAX(K183,0)*E183)</f>
        <v/>
      </c>
      <c r="N183" s="16">
        <f>IF(A183="","",IF(K183&lt;=H183,MAX(2*H183-K183,0),0))</f>
        <v/>
      </c>
      <c r="O183" s="17">
        <f>IF(OR(A183="",F183=0,F183=""),"",(F183-E183)/F183)</f>
        <v/>
      </c>
    </row>
    <row r="184">
      <c r="A184" s="14" t="n"/>
      <c r="B184" s="14" t="n"/>
      <c r="C184" s="14" t="n"/>
      <c r="D184" s="14" t="n"/>
      <c r="E184" s="15" t="n"/>
      <c r="F184" s="15" t="n"/>
      <c r="G184" s="16" t="n"/>
      <c r="H184" s="16" t="n"/>
      <c r="I184" s="16">
        <f>IF(A184="","",SUMIFS('Movimentações'!$E$5:$E$5000,'Movimentações'!$B$5:$B$5000,A184,'Movimentações'!$D$5:$D$5000,"Entrada"))</f>
        <v/>
      </c>
      <c r="J184" s="16">
        <f>IF(A184="","",SUMIFS('Movimentações'!$E$5:$E$5000,'Movimentações'!$B$5:$B$5000,A184,'Movimentações'!$D$5:$D$5000,"Saída"))</f>
        <v/>
      </c>
      <c r="K184" s="16">
        <f>IF(A184="","",G184+I184-J184)</f>
        <v/>
      </c>
      <c r="L184" s="14">
        <f>IF(A184="","",IF(K184&lt;=0,"SEM ESTOQUE",IF(K184&lt;=H184,"REPOR","OK")))</f>
        <v/>
      </c>
      <c r="M184" s="15">
        <f>IF(A184="","",MAX(K184,0)*E184)</f>
        <v/>
      </c>
      <c r="N184" s="16">
        <f>IF(A184="","",IF(K184&lt;=H184,MAX(2*H184-K184,0),0))</f>
        <v/>
      </c>
      <c r="O184" s="17">
        <f>IF(OR(A184="",F184=0,F184=""),"",(F184-E184)/F184)</f>
        <v/>
      </c>
    </row>
    <row r="185">
      <c r="A185" s="14" t="n"/>
      <c r="B185" s="14" t="n"/>
      <c r="C185" s="14" t="n"/>
      <c r="D185" s="14" t="n"/>
      <c r="E185" s="15" t="n"/>
      <c r="F185" s="15" t="n"/>
      <c r="G185" s="16" t="n"/>
      <c r="H185" s="16" t="n"/>
      <c r="I185" s="16">
        <f>IF(A185="","",SUMIFS('Movimentações'!$E$5:$E$5000,'Movimentações'!$B$5:$B$5000,A185,'Movimentações'!$D$5:$D$5000,"Entrada"))</f>
        <v/>
      </c>
      <c r="J185" s="16">
        <f>IF(A185="","",SUMIFS('Movimentações'!$E$5:$E$5000,'Movimentações'!$B$5:$B$5000,A185,'Movimentações'!$D$5:$D$5000,"Saída"))</f>
        <v/>
      </c>
      <c r="K185" s="16">
        <f>IF(A185="","",G185+I185-J185)</f>
        <v/>
      </c>
      <c r="L185" s="14">
        <f>IF(A185="","",IF(K185&lt;=0,"SEM ESTOQUE",IF(K185&lt;=H185,"REPOR","OK")))</f>
        <v/>
      </c>
      <c r="M185" s="15">
        <f>IF(A185="","",MAX(K185,0)*E185)</f>
        <v/>
      </c>
      <c r="N185" s="16">
        <f>IF(A185="","",IF(K185&lt;=H185,MAX(2*H185-K185,0),0))</f>
        <v/>
      </c>
      <c r="O185" s="17">
        <f>IF(OR(A185="",F185=0,F185=""),"",(F185-E185)/F185)</f>
        <v/>
      </c>
    </row>
    <row r="186">
      <c r="A186" s="14" t="n"/>
      <c r="B186" s="14" t="n"/>
      <c r="C186" s="14" t="n"/>
      <c r="D186" s="14" t="n"/>
      <c r="E186" s="15" t="n"/>
      <c r="F186" s="15" t="n"/>
      <c r="G186" s="16" t="n"/>
      <c r="H186" s="16" t="n"/>
      <c r="I186" s="16">
        <f>IF(A186="","",SUMIFS('Movimentações'!$E$5:$E$5000,'Movimentações'!$B$5:$B$5000,A186,'Movimentações'!$D$5:$D$5000,"Entrada"))</f>
        <v/>
      </c>
      <c r="J186" s="16">
        <f>IF(A186="","",SUMIFS('Movimentações'!$E$5:$E$5000,'Movimentações'!$B$5:$B$5000,A186,'Movimentações'!$D$5:$D$5000,"Saída"))</f>
        <v/>
      </c>
      <c r="K186" s="16">
        <f>IF(A186="","",G186+I186-J186)</f>
        <v/>
      </c>
      <c r="L186" s="14">
        <f>IF(A186="","",IF(K186&lt;=0,"SEM ESTOQUE",IF(K186&lt;=H186,"REPOR","OK")))</f>
        <v/>
      </c>
      <c r="M186" s="15">
        <f>IF(A186="","",MAX(K186,0)*E186)</f>
        <v/>
      </c>
      <c r="N186" s="16">
        <f>IF(A186="","",IF(K186&lt;=H186,MAX(2*H186-K186,0),0))</f>
        <v/>
      </c>
      <c r="O186" s="17">
        <f>IF(OR(A186="",F186=0,F186=""),"",(F186-E186)/F186)</f>
        <v/>
      </c>
    </row>
    <row r="187">
      <c r="A187" s="14" t="n"/>
      <c r="B187" s="14" t="n"/>
      <c r="C187" s="14" t="n"/>
      <c r="D187" s="14" t="n"/>
      <c r="E187" s="15" t="n"/>
      <c r="F187" s="15" t="n"/>
      <c r="G187" s="16" t="n"/>
      <c r="H187" s="16" t="n"/>
      <c r="I187" s="16">
        <f>IF(A187="","",SUMIFS('Movimentações'!$E$5:$E$5000,'Movimentações'!$B$5:$B$5000,A187,'Movimentações'!$D$5:$D$5000,"Entrada"))</f>
        <v/>
      </c>
      <c r="J187" s="16">
        <f>IF(A187="","",SUMIFS('Movimentações'!$E$5:$E$5000,'Movimentações'!$B$5:$B$5000,A187,'Movimentações'!$D$5:$D$5000,"Saída"))</f>
        <v/>
      </c>
      <c r="K187" s="16">
        <f>IF(A187="","",G187+I187-J187)</f>
        <v/>
      </c>
      <c r="L187" s="14">
        <f>IF(A187="","",IF(K187&lt;=0,"SEM ESTOQUE",IF(K187&lt;=H187,"REPOR","OK")))</f>
        <v/>
      </c>
      <c r="M187" s="15">
        <f>IF(A187="","",MAX(K187,0)*E187)</f>
        <v/>
      </c>
      <c r="N187" s="16">
        <f>IF(A187="","",IF(K187&lt;=H187,MAX(2*H187-K187,0),0))</f>
        <v/>
      </c>
      <c r="O187" s="17">
        <f>IF(OR(A187="",F187=0,F187=""),"",(F187-E187)/F187)</f>
        <v/>
      </c>
    </row>
    <row r="188">
      <c r="A188" s="14" t="n"/>
      <c r="B188" s="14" t="n"/>
      <c r="C188" s="14" t="n"/>
      <c r="D188" s="14" t="n"/>
      <c r="E188" s="15" t="n"/>
      <c r="F188" s="15" t="n"/>
      <c r="G188" s="16" t="n"/>
      <c r="H188" s="16" t="n"/>
      <c r="I188" s="16">
        <f>IF(A188="","",SUMIFS('Movimentações'!$E$5:$E$5000,'Movimentações'!$B$5:$B$5000,A188,'Movimentações'!$D$5:$D$5000,"Entrada"))</f>
        <v/>
      </c>
      <c r="J188" s="16">
        <f>IF(A188="","",SUMIFS('Movimentações'!$E$5:$E$5000,'Movimentações'!$B$5:$B$5000,A188,'Movimentações'!$D$5:$D$5000,"Saída"))</f>
        <v/>
      </c>
      <c r="K188" s="16">
        <f>IF(A188="","",G188+I188-J188)</f>
        <v/>
      </c>
      <c r="L188" s="14">
        <f>IF(A188="","",IF(K188&lt;=0,"SEM ESTOQUE",IF(K188&lt;=H188,"REPOR","OK")))</f>
        <v/>
      </c>
      <c r="M188" s="15">
        <f>IF(A188="","",MAX(K188,0)*E188)</f>
        <v/>
      </c>
      <c r="N188" s="16">
        <f>IF(A188="","",IF(K188&lt;=H188,MAX(2*H188-K188,0),0))</f>
        <v/>
      </c>
      <c r="O188" s="17">
        <f>IF(OR(A188="",F188=0,F188=""),"",(F188-E188)/F188)</f>
        <v/>
      </c>
    </row>
    <row r="189">
      <c r="A189" s="14" t="n"/>
      <c r="B189" s="14" t="n"/>
      <c r="C189" s="14" t="n"/>
      <c r="D189" s="14" t="n"/>
      <c r="E189" s="15" t="n"/>
      <c r="F189" s="15" t="n"/>
      <c r="G189" s="16" t="n"/>
      <c r="H189" s="16" t="n"/>
      <c r="I189" s="16">
        <f>IF(A189="","",SUMIFS('Movimentações'!$E$5:$E$5000,'Movimentações'!$B$5:$B$5000,A189,'Movimentações'!$D$5:$D$5000,"Entrada"))</f>
        <v/>
      </c>
      <c r="J189" s="16">
        <f>IF(A189="","",SUMIFS('Movimentações'!$E$5:$E$5000,'Movimentações'!$B$5:$B$5000,A189,'Movimentações'!$D$5:$D$5000,"Saída"))</f>
        <v/>
      </c>
      <c r="K189" s="16">
        <f>IF(A189="","",G189+I189-J189)</f>
        <v/>
      </c>
      <c r="L189" s="14">
        <f>IF(A189="","",IF(K189&lt;=0,"SEM ESTOQUE",IF(K189&lt;=H189,"REPOR","OK")))</f>
        <v/>
      </c>
      <c r="M189" s="15">
        <f>IF(A189="","",MAX(K189,0)*E189)</f>
        <v/>
      </c>
      <c r="N189" s="16">
        <f>IF(A189="","",IF(K189&lt;=H189,MAX(2*H189-K189,0),0))</f>
        <v/>
      </c>
      <c r="O189" s="17">
        <f>IF(OR(A189="",F189=0,F189=""),"",(F189-E189)/F189)</f>
        <v/>
      </c>
    </row>
    <row r="190">
      <c r="A190" s="14" t="n"/>
      <c r="B190" s="14" t="n"/>
      <c r="C190" s="14" t="n"/>
      <c r="D190" s="14" t="n"/>
      <c r="E190" s="15" t="n"/>
      <c r="F190" s="15" t="n"/>
      <c r="G190" s="16" t="n"/>
      <c r="H190" s="16" t="n"/>
      <c r="I190" s="16">
        <f>IF(A190="","",SUMIFS('Movimentações'!$E$5:$E$5000,'Movimentações'!$B$5:$B$5000,A190,'Movimentações'!$D$5:$D$5000,"Entrada"))</f>
        <v/>
      </c>
      <c r="J190" s="16">
        <f>IF(A190="","",SUMIFS('Movimentações'!$E$5:$E$5000,'Movimentações'!$B$5:$B$5000,A190,'Movimentações'!$D$5:$D$5000,"Saída"))</f>
        <v/>
      </c>
      <c r="K190" s="16">
        <f>IF(A190="","",G190+I190-J190)</f>
        <v/>
      </c>
      <c r="L190" s="14">
        <f>IF(A190="","",IF(K190&lt;=0,"SEM ESTOQUE",IF(K190&lt;=H190,"REPOR","OK")))</f>
        <v/>
      </c>
      <c r="M190" s="15">
        <f>IF(A190="","",MAX(K190,0)*E190)</f>
        <v/>
      </c>
      <c r="N190" s="16">
        <f>IF(A190="","",IF(K190&lt;=H190,MAX(2*H190-K190,0),0))</f>
        <v/>
      </c>
      <c r="O190" s="17">
        <f>IF(OR(A190="",F190=0,F190=""),"",(F190-E190)/F190)</f>
        <v/>
      </c>
    </row>
    <row r="191">
      <c r="A191" s="14" t="n"/>
      <c r="B191" s="14" t="n"/>
      <c r="C191" s="14" t="n"/>
      <c r="D191" s="14" t="n"/>
      <c r="E191" s="15" t="n"/>
      <c r="F191" s="15" t="n"/>
      <c r="G191" s="16" t="n"/>
      <c r="H191" s="16" t="n"/>
      <c r="I191" s="16">
        <f>IF(A191="","",SUMIFS('Movimentações'!$E$5:$E$5000,'Movimentações'!$B$5:$B$5000,A191,'Movimentações'!$D$5:$D$5000,"Entrada"))</f>
        <v/>
      </c>
      <c r="J191" s="16">
        <f>IF(A191="","",SUMIFS('Movimentações'!$E$5:$E$5000,'Movimentações'!$B$5:$B$5000,A191,'Movimentações'!$D$5:$D$5000,"Saída"))</f>
        <v/>
      </c>
      <c r="K191" s="16">
        <f>IF(A191="","",G191+I191-J191)</f>
        <v/>
      </c>
      <c r="L191" s="14">
        <f>IF(A191="","",IF(K191&lt;=0,"SEM ESTOQUE",IF(K191&lt;=H191,"REPOR","OK")))</f>
        <v/>
      </c>
      <c r="M191" s="15">
        <f>IF(A191="","",MAX(K191,0)*E191)</f>
        <v/>
      </c>
      <c r="N191" s="16">
        <f>IF(A191="","",IF(K191&lt;=H191,MAX(2*H191-K191,0),0))</f>
        <v/>
      </c>
      <c r="O191" s="17">
        <f>IF(OR(A191="",F191=0,F191=""),"",(F191-E191)/F191)</f>
        <v/>
      </c>
    </row>
    <row r="192">
      <c r="A192" s="14" t="n"/>
      <c r="B192" s="14" t="n"/>
      <c r="C192" s="14" t="n"/>
      <c r="D192" s="14" t="n"/>
      <c r="E192" s="15" t="n"/>
      <c r="F192" s="15" t="n"/>
      <c r="G192" s="16" t="n"/>
      <c r="H192" s="16" t="n"/>
      <c r="I192" s="16">
        <f>IF(A192="","",SUMIFS('Movimentações'!$E$5:$E$5000,'Movimentações'!$B$5:$B$5000,A192,'Movimentações'!$D$5:$D$5000,"Entrada"))</f>
        <v/>
      </c>
      <c r="J192" s="16">
        <f>IF(A192="","",SUMIFS('Movimentações'!$E$5:$E$5000,'Movimentações'!$B$5:$B$5000,A192,'Movimentações'!$D$5:$D$5000,"Saída"))</f>
        <v/>
      </c>
      <c r="K192" s="16">
        <f>IF(A192="","",G192+I192-J192)</f>
        <v/>
      </c>
      <c r="L192" s="14">
        <f>IF(A192="","",IF(K192&lt;=0,"SEM ESTOQUE",IF(K192&lt;=H192,"REPOR","OK")))</f>
        <v/>
      </c>
      <c r="M192" s="15">
        <f>IF(A192="","",MAX(K192,0)*E192)</f>
        <v/>
      </c>
      <c r="N192" s="16">
        <f>IF(A192="","",IF(K192&lt;=H192,MAX(2*H192-K192,0),0))</f>
        <v/>
      </c>
      <c r="O192" s="17">
        <f>IF(OR(A192="",F192=0,F192=""),"",(F192-E192)/F192)</f>
        <v/>
      </c>
    </row>
    <row r="193">
      <c r="A193" s="14" t="n"/>
      <c r="B193" s="14" t="n"/>
      <c r="C193" s="14" t="n"/>
      <c r="D193" s="14" t="n"/>
      <c r="E193" s="15" t="n"/>
      <c r="F193" s="15" t="n"/>
      <c r="G193" s="16" t="n"/>
      <c r="H193" s="16" t="n"/>
      <c r="I193" s="16">
        <f>IF(A193="","",SUMIFS('Movimentações'!$E$5:$E$5000,'Movimentações'!$B$5:$B$5000,A193,'Movimentações'!$D$5:$D$5000,"Entrada"))</f>
        <v/>
      </c>
      <c r="J193" s="16">
        <f>IF(A193="","",SUMIFS('Movimentações'!$E$5:$E$5000,'Movimentações'!$B$5:$B$5000,A193,'Movimentações'!$D$5:$D$5000,"Saída"))</f>
        <v/>
      </c>
      <c r="K193" s="16">
        <f>IF(A193="","",G193+I193-J193)</f>
        <v/>
      </c>
      <c r="L193" s="14">
        <f>IF(A193="","",IF(K193&lt;=0,"SEM ESTOQUE",IF(K193&lt;=H193,"REPOR","OK")))</f>
        <v/>
      </c>
      <c r="M193" s="15">
        <f>IF(A193="","",MAX(K193,0)*E193)</f>
        <v/>
      </c>
      <c r="N193" s="16">
        <f>IF(A193="","",IF(K193&lt;=H193,MAX(2*H193-K193,0),0))</f>
        <v/>
      </c>
      <c r="O193" s="17">
        <f>IF(OR(A193="",F193=0,F193=""),"",(F193-E193)/F193)</f>
        <v/>
      </c>
    </row>
    <row r="194">
      <c r="A194" s="14" t="n"/>
      <c r="B194" s="14" t="n"/>
      <c r="C194" s="14" t="n"/>
      <c r="D194" s="14" t="n"/>
      <c r="E194" s="15" t="n"/>
      <c r="F194" s="15" t="n"/>
      <c r="G194" s="16" t="n"/>
      <c r="H194" s="16" t="n"/>
      <c r="I194" s="16">
        <f>IF(A194="","",SUMIFS('Movimentações'!$E$5:$E$5000,'Movimentações'!$B$5:$B$5000,A194,'Movimentações'!$D$5:$D$5000,"Entrada"))</f>
        <v/>
      </c>
      <c r="J194" s="16">
        <f>IF(A194="","",SUMIFS('Movimentações'!$E$5:$E$5000,'Movimentações'!$B$5:$B$5000,A194,'Movimentações'!$D$5:$D$5000,"Saída"))</f>
        <v/>
      </c>
      <c r="K194" s="16">
        <f>IF(A194="","",G194+I194-J194)</f>
        <v/>
      </c>
      <c r="L194" s="14">
        <f>IF(A194="","",IF(K194&lt;=0,"SEM ESTOQUE",IF(K194&lt;=H194,"REPOR","OK")))</f>
        <v/>
      </c>
      <c r="M194" s="15">
        <f>IF(A194="","",MAX(K194,0)*E194)</f>
        <v/>
      </c>
      <c r="N194" s="16">
        <f>IF(A194="","",IF(K194&lt;=H194,MAX(2*H194-K194,0),0))</f>
        <v/>
      </c>
      <c r="O194" s="17">
        <f>IF(OR(A194="",F194=0,F194=""),"",(F194-E194)/F194)</f>
        <v/>
      </c>
    </row>
    <row r="195">
      <c r="A195" s="14" t="n"/>
      <c r="B195" s="14" t="n"/>
      <c r="C195" s="14" t="n"/>
      <c r="D195" s="14" t="n"/>
      <c r="E195" s="15" t="n"/>
      <c r="F195" s="15" t="n"/>
      <c r="G195" s="16" t="n"/>
      <c r="H195" s="16" t="n"/>
      <c r="I195" s="16">
        <f>IF(A195="","",SUMIFS('Movimentações'!$E$5:$E$5000,'Movimentações'!$B$5:$B$5000,A195,'Movimentações'!$D$5:$D$5000,"Entrada"))</f>
        <v/>
      </c>
      <c r="J195" s="16">
        <f>IF(A195="","",SUMIFS('Movimentações'!$E$5:$E$5000,'Movimentações'!$B$5:$B$5000,A195,'Movimentações'!$D$5:$D$5000,"Saída"))</f>
        <v/>
      </c>
      <c r="K195" s="16">
        <f>IF(A195="","",G195+I195-J195)</f>
        <v/>
      </c>
      <c r="L195" s="14">
        <f>IF(A195="","",IF(K195&lt;=0,"SEM ESTOQUE",IF(K195&lt;=H195,"REPOR","OK")))</f>
        <v/>
      </c>
      <c r="M195" s="15">
        <f>IF(A195="","",MAX(K195,0)*E195)</f>
        <v/>
      </c>
      <c r="N195" s="16">
        <f>IF(A195="","",IF(K195&lt;=H195,MAX(2*H195-K195,0),0))</f>
        <v/>
      </c>
      <c r="O195" s="17">
        <f>IF(OR(A195="",F195=0,F195=""),"",(F195-E195)/F195)</f>
        <v/>
      </c>
    </row>
    <row r="196">
      <c r="A196" s="14" t="n"/>
      <c r="B196" s="14" t="n"/>
      <c r="C196" s="14" t="n"/>
      <c r="D196" s="14" t="n"/>
      <c r="E196" s="15" t="n"/>
      <c r="F196" s="15" t="n"/>
      <c r="G196" s="16" t="n"/>
      <c r="H196" s="16" t="n"/>
      <c r="I196" s="16">
        <f>IF(A196="","",SUMIFS('Movimentações'!$E$5:$E$5000,'Movimentações'!$B$5:$B$5000,A196,'Movimentações'!$D$5:$D$5000,"Entrada"))</f>
        <v/>
      </c>
      <c r="J196" s="16">
        <f>IF(A196="","",SUMIFS('Movimentações'!$E$5:$E$5000,'Movimentações'!$B$5:$B$5000,A196,'Movimentações'!$D$5:$D$5000,"Saída"))</f>
        <v/>
      </c>
      <c r="K196" s="16">
        <f>IF(A196="","",G196+I196-J196)</f>
        <v/>
      </c>
      <c r="L196" s="14">
        <f>IF(A196="","",IF(K196&lt;=0,"SEM ESTOQUE",IF(K196&lt;=H196,"REPOR","OK")))</f>
        <v/>
      </c>
      <c r="M196" s="15">
        <f>IF(A196="","",MAX(K196,0)*E196)</f>
        <v/>
      </c>
      <c r="N196" s="16">
        <f>IF(A196="","",IF(K196&lt;=H196,MAX(2*H196-K196,0),0))</f>
        <v/>
      </c>
      <c r="O196" s="17">
        <f>IF(OR(A196="",F196=0,F196=""),"",(F196-E196)/F196)</f>
        <v/>
      </c>
    </row>
    <row r="197">
      <c r="A197" s="14" t="n"/>
      <c r="B197" s="14" t="n"/>
      <c r="C197" s="14" t="n"/>
      <c r="D197" s="14" t="n"/>
      <c r="E197" s="15" t="n"/>
      <c r="F197" s="15" t="n"/>
      <c r="G197" s="16" t="n"/>
      <c r="H197" s="16" t="n"/>
      <c r="I197" s="16">
        <f>IF(A197="","",SUMIFS('Movimentações'!$E$5:$E$5000,'Movimentações'!$B$5:$B$5000,A197,'Movimentações'!$D$5:$D$5000,"Entrada"))</f>
        <v/>
      </c>
      <c r="J197" s="16">
        <f>IF(A197="","",SUMIFS('Movimentações'!$E$5:$E$5000,'Movimentações'!$B$5:$B$5000,A197,'Movimentações'!$D$5:$D$5000,"Saída"))</f>
        <v/>
      </c>
      <c r="K197" s="16">
        <f>IF(A197="","",G197+I197-J197)</f>
        <v/>
      </c>
      <c r="L197" s="14">
        <f>IF(A197="","",IF(K197&lt;=0,"SEM ESTOQUE",IF(K197&lt;=H197,"REPOR","OK")))</f>
        <v/>
      </c>
      <c r="M197" s="15">
        <f>IF(A197="","",MAX(K197,0)*E197)</f>
        <v/>
      </c>
      <c r="N197" s="16">
        <f>IF(A197="","",IF(K197&lt;=H197,MAX(2*H197-K197,0),0))</f>
        <v/>
      </c>
      <c r="O197" s="17">
        <f>IF(OR(A197="",F197=0,F197=""),"",(F197-E197)/F197)</f>
        <v/>
      </c>
    </row>
    <row r="198">
      <c r="A198" s="14" t="n"/>
      <c r="B198" s="14" t="n"/>
      <c r="C198" s="14" t="n"/>
      <c r="D198" s="14" t="n"/>
      <c r="E198" s="15" t="n"/>
      <c r="F198" s="15" t="n"/>
      <c r="G198" s="16" t="n"/>
      <c r="H198" s="16" t="n"/>
      <c r="I198" s="16">
        <f>IF(A198="","",SUMIFS('Movimentações'!$E$5:$E$5000,'Movimentações'!$B$5:$B$5000,A198,'Movimentações'!$D$5:$D$5000,"Entrada"))</f>
        <v/>
      </c>
      <c r="J198" s="16">
        <f>IF(A198="","",SUMIFS('Movimentações'!$E$5:$E$5000,'Movimentações'!$B$5:$B$5000,A198,'Movimentações'!$D$5:$D$5000,"Saída"))</f>
        <v/>
      </c>
      <c r="K198" s="16">
        <f>IF(A198="","",G198+I198-J198)</f>
        <v/>
      </c>
      <c r="L198" s="14">
        <f>IF(A198="","",IF(K198&lt;=0,"SEM ESTOQUE",IF(K198&lt;=H198,"REPOR","OK")))</f>
        <v/>
      </c>
      <c r="M198" s="15">
        <f>IF(A198="","",MAX(K198,0)*E198)</f>
        <v/>
      </c>
      <c r="N198" s="16">
        <f>IF(A198="","",IF(K198&lt;=H198,MAX(2*H198-K198,0),0))</f>
        <v/>
      </c>
      <c r="O198" s="17">
        <f>IF(OR(A198="",F198=0,F198=""),"",(F198-E198)/F198)</f>
        <v/>
      </c>
    </row>
    <row r="199">
      <c r="A199" s="14" t="n"/>
      <c r="B199" s="14" t="n"/>
      <c r="C199" s="14" t="n"/>
      <c r="D199" s="14" t="n"/>
      <c r="E199" s="15" t="n"/>
      <c r="F199" s="15" t="n"/>
      <c r="G199" s="16" t="n"/>
      <c r="H199" s="16" t="n"/>
      <c r="I199" s="16">
        <f>IF(A199="","",SUMIFS('Movimentações'!$E$5:$E$5000,'Movimentações'!$B$5:$B$5000,A199,'Movimentações'!$D$5:$D$5000,"Entrada"))</f>
        <v/>
      </c>
      <c r="J199" s="16">
        <f>IF(A199="","",SUMIFS('Movimentações'!$E$5:$E$5000,'Movimentações'!$B$5:$B$5000,A199,'Movimentações'!$D$5:$D$5000,"Saída"))</f>
        <v/>
      </c>
      <c r="K199" s="16">
        <f>IF(A199="","",G199+I199-J199)</f>
        <v/>
      </c>
      <c r="L199" s="14">
        <f>IF(A199="","",IF(K199&lt;=0,"SEM ESTOQUE",IF(K199&lt;=H199,"REPOR","OK")))</f>
        <v/>
      </c>
      <c r="M199" s="15">
        <f>IF(A199="","",MAX(K199,0)*E199)</f>
        <v/>
      </c>
      <c r="N199" s="16">
        <f>IF(A199="","",IF(K199&lt;=H199,MAX(2*H199-K199,0),0))</f>
        <v/>
      </c>
      <c r="O199" s="17">
        <f>IF(OR(A199="",F199=0,F199=""),"",(F199-E199)/F199)</f>
        <v/>
      </c>
    </row>
    <row r="200">
      <c r="A200" s="14" t="n"/>
      <c r="B200" s="14" t="n"/>
      <c r="C200" s="14" t="n"/>
      <c r="D200" s="14" t="n"/>
      <c r="E200" s="15" t="n"/>
      <c r="F200" s="15" t="n"/>
      <c r="G200" s="16" t="n"/>
      <c r="H200" s="16" t="n"/>
      <c r="I200" s="16">
        <f>IF(A200="","",SUMIFS('Movimentações'!$E$5:$E$5000,'Movimentações'!$B$5:$B$5000,A200,'Movimentações'!$D$5:$D$5000,"Entrada"))</f>
        <v/>
      </c>
      <c r="J200" s="16">
        <f>IF(A200="","",SUMIFS('Movimentações'!$E$5:$E$5000,'Movimentações'!$B$5:$B$5000,A200,'Movimentações'!$D$5:$D$5000,"Saída"))</f>
        <v/>
      </c>
      <c r="K200" s="16">
        <f>IF(A200="","",G200+I200-J200)</f>
        <v/>
      </c>
      <c r="L200" s="14">
        <f>IF(A200="","",IF(K200&lt;=0,"SEM ESTOQUE",IF(K200&lt;=H200,"REPOR","OK")))</f>
        <v/>
      </c>
      <c r="M200" s="15">
        <f>IF(A200="","",MAX(K200,0)*E200)</f>
        <v/>
      </c>
      <c r="N200" s="16">
        <f>IF(A200="","",IF(K200&lt;=H200,MAX(2*H200-K200,0),0))</f>
        <v/>
      </c>
      <c r="O200" s="17">
        <f>IF(OR(A200="",F200=0,F200=""),"",(F200-E200)/F200)</f>
        <v/>
      </c>
    </row>
    <row r="201">
      <c r="A201" s="14" t="n"/>
      <c r="B201" s="14" t="n"/>
      <c r="C201" s="14" t="n"/>
      <c r="D201" s="14" t="n"/>
      <c r="E201" s="15" t="n"/>
      <c r="F201" s="15" t="n"/>
      <c r="G201" s="16" t="n"/>
      <c r="H201" s="16" t="n"/>
      <c r="I201" s="16">
        <f>IF(A201="","",SUMIFS('Movimentações'!$E$5:$E$5000,'Movimentações'!$B$5:$B$5000,A201,'Movimentações'!$D$5:$D$5000,"Entrada"))</f>
        <v/>
      </c>
      <c r="J201" s="16">
        <f>IF(A201="","",SUMIFS('Movimentações'!$E$5:$E$5000,'Movimentações'!$B$5:$B$5000,A201,'Movimentações'!$D$5:$D$5000,"Saída"))</f>
        <v/>
      </c>
      <c r="K201" s="16">
        <f>IF(A201="","",G201+I201-J201)</f>
        <v/>
      </c>
      <c r="L201" s="14">
        <f>IF(A201="","",IF(K201&lt;=0,"SEM ESTOQUE",IF(K201&lt;=H201,"REPOR","OK")))</f>
        <v/>
      </c>
      <c r="M201" s="15">
        <f>IF(A201="","",MAX(K201,0)*E201)</f>
        <v/>
      </c>
      <c r="N201" s="16">
        <f>IF(A201="","",IF(K201&lt;=H201,MAX(2*H201-K201,0),0))</f>
        <v/>
      </c>
      <c r="O201" s="17">
        <f>IF(OR(A201="",F201=0,F201=""),"",(F201-E201)/F201)</f>
        <v/>
      </c>
    </row>
    <row r="202">
      <c r="A202" s="14" t="n"/>
      <c r="B202" s="14" t="n"/>
      <c r="C202" s="14" t="n"/>
      <c r="D202" s="14" t="n"/>
      <c r="E202" s="15" t="n"/>
      <c r="F202" s="15" t="n"/>
      <c r="G202" s="16" t="n"/>
      <c r="H202" s="16" t="n"/>
      <c r="I202" s="16">
        <f>IF(A202="","",SUMIFS('Movimentações'!$E$5:$E$5000,'Movimentações'!$B$5:$B$5000,A202,'Movimentações'!$D$5:$D$5000,"Entrada"))</f>
        <v/>
      </c>
      <c r="J202" s="16">
        <f>IF(A202="","",SUMIFS('Movimentações'!$E$5:$E$5000,'Movimentações'!$B$5:$B$5000,A202,'Movimentações'!$D$5:$D$5000,"Saída"))</f>
        <v/>
      </c>
      <c r="K202" s="16">
        <f>IF(A202="","",G202+I202-J202)</f>
        <v/>
      </c>
      <c r="L202" s="14">
        <f>IF(A202="","",IF(K202&lt;=0,"SEM ESTOQUE",IF(K202&lt;=H202,"REPOR","OK")))</f>
        <v/>
      </c>
      <c r="M202" s="15">
        <f>IF(A202="","",MAX(K202,0)*E202)</f>
        <v/>
      </c>
      <c r="N202" s="16">
        <f>IF(A202="","",IF(K202&lt;=H202,MAX(2*H202-K202,0),0))</f>
        <v/>
      </c>
      <c r="O202" s="17">
        <f>IF(OR(A202="",F202=0,F202=""),"",(F202-E202)/F202)</f>
        <v/>
      </c>
    </row>
    <row r="203">
      <c r="A203" s="14" t="n"/>
      <c r="B203" s="14" t="n"/>
      <c r="C203" s="14" t="n"/>
      <c r="D203" s="14" t="n"/>
      <c r="E203" s="15" t="n"/>
      <c r="F203" s="15" t="n"/>
      <c r="G203" s="16" t="n"/>
      <c r="H203" s="16" t="n"/>
      <c r="I203" s="16">
        <f>IF(A203="","",SUMIFS('Movimentações'!$E$5:$E$5000,'Movimentações'!$B$5:$B$5000,A203,'Movimentações'!$D$5:$D$5000,"Entrada"))</f>
        <v/>
      </c>
      <c r="J203" s="16">
        <f>IF(A203="","",SUMIFS('Movimentações'!$E$5:$E$5000,'Movimentações'!$B$5:$B$5000,A203,'Movimentações'!$D$5:$D$5000,"Saída"))</f>
        <v/>
      </c>
      <c r="K203" s="16">
        <f>IF(A203="","",G203+I203-J203)</f>
        <v/>
      </c>
      <c r="L203" s="14">
        <f>IF(A203="","",IF(K203&lt;=0,"SEM ESTOQUE",IF(K203&lt;=H203,"REPOR","OK")))</f>
        <v/>
      </c>
      <c r="M203" s="15">
        <f>IF(A203="","",MAX(K203,0)*E203)</f>
        <v/>
      </c>
      <c r="N203" s="16">
        <f>IF(A203="","",IF(K203&lt;=H203,MAX(2*H203-K203,0),0))</f>
        <v/>
      </c>
      <c r="O203" s="17">
        <f>IF(OR(A203="",F203=0,F203=""),"",(F203-E203)/F203)</f>
        <v/>
      </c>
    </row>
    <row r="204">
      <c r="A204" s="14" t="n"/>
      <c r="B204" s="14" t="n"/>
      <c r="C204" s="14" t="n"/>
      <c r="D204" s="14" t="n"/>
      <c r="E204" s="15" t="n"/>
      <c r="F204" s="15" t="n"/>
      <c r="G204" s="16" t="n"/>
      <c r="H204" s="16" t="n"/>
      <c r="I204" s="16">
        <f>IF(A204="","",SUMIFS('Movimentações'!$E$5:$E$5000,'Movimentações'!$B$5:$B$5000,A204,'Movimentações'!$D$5:$D$5000,"Entrada"))</f>
        <v/>
      </c>
      <c r="J204" s="16">
        <f>IF(A204="","",SUMIFS('Movimentações'!$E$5:$E$5000,'Movimentações'!$B$5:$B$5000,A204,'Movimentações'!$D$5:$D$5000,"Saída"))</f>
        <v/>
      </c>
      <c r="K204" s="16">
        <f>IF(A204="","",G204+I204-J204)</f>
        <v/>
      </c>
      <c r="L204" s="14">
        <f>IF(A204="","",IF(K204&lt;=0,"SEM ESTOQUE",IF(K204&lt;=H204,"REPOR","OK")))</f>
        <v/>
      </c>
      <c r="M204" s="15">
        <f>IF(A204="","",MAX(K204,0)*E204)</f>
        <v/>
      </c>
      <c r="N204" s="16">
        <f>IF(A204="","",IF(K204&lt;=H204,MAX(2*H204-K204,0),0))</f>
        <v/>
      </c>
      <c r="O204" s="17">
        <f>IF(OR(A204="",F204=0,F204=""),"",(F204-E204)/F204)</f>
        <v/>
      </c>
    </row>
    <row r="205">
      <c r="A205" s="14" t="n"/>
      <c r="B205" s="14" t="n"/>
      <c r="C205" s="14" t="n"/>
      <c r="D205" s="14" t="n"/>
      <c r="E205" s="15" t="n"/>
      <c r="F205" s="15" t="n"/>
      <c r="G205" s="16" t="n"/>
      <c r="H205" s="16" t="n"/>
      <c r="I205" s="16">
        <f>IF(A205="","",SUMIFS('Movimentações'!$E$5:$E$5000,'Movimentações'!$B$5:$B$5000,A205,'Movimentações'!$D$5:$D$5000,"Entrada"))</f>
        <v/>
      </c>
      <c r="J205" s="16">
        <f>IF(A205="","",SUMIFS('Movimentações'!$E$5:$E$5000,'Movimentações'!$B$5:$B$5000,A205,'Movimentações'!$D$5:$D$5000,"Saída"))</f>
        <v/>
      </c>
      <c r="K205" s="16">
        <f>IF(A205="","",G205+I205-J205)</f>
        <v/>
      </c>
      <c r="L205" s="14">
        <f>IF(A205="","",IF(K205&lt;=0,"SEM ESTOQUE",IF(K205&lt;=H205,"REPOR","OK")))</f>
        <v/>
      </c>
      <c r="M205" s="15">
        <f>IF(A205="","",MAX(K205,0)*E205)</f>
        <v/>
      </c>
      <c r="N205" s="16">
        <f>IF(A205="","",IF(K205&lt;=H205,MAX(2*H205-K205,0),0))</f>
        <v/>
      </c>
      <c r="O205" s="17">
        <f>IF(OR(A205="",F205=0,F205=""),"",(F205-E205)/F205)</f>
        <v/>
      </c>
    </row>
    <row r="206">
      <c r="A206" s="14" t="n"/>
      <c r="B206" s="14" t="n"/>
      <c r="C206" s="14" t="n"/>
      <c r="D206" s="14" t="n"/>
      <c r="E206" s="15" t="n"/>
      <c r="F206" s="15" t="n"/>
      <c r="G206" s="16" t="n"/>
      <c r="H206" s="16" t="n"/>
      <c r="I206" s="16">
        <f>IF(A206="","",SUMIFS('Movimentações'!$E$5:$E$5000,'Movimentações'!$B$5:$B$5000,A206,'Movimentações'!$D$5:$D$5000,"Entrada"))</f>
        <v/>
      </c>
      <c r="J206" s="16">
        <f>IF(A206="","",SUMIFS('Movimentações'!$E$5:$E$5000,'Movimentações'!$B$5:$B$5000,A206,'Movimentações'!$D$5:$D$5000,"Saída"))</f>
        <v/>
      </c>
      <c r="K206" s="16">
        <f>IF(A206="","",G206+I206-J206)</f>
        <v/>
      </c>
      <c r="L206" s="14">
        <f>IF(A206="","",IF(K206&lt;=0,"SEM ESTOQUE",IF(K206&lt;=H206,"REPOR","OK")))</f>
        <v/>
      </c>
      <c r="M206" s="15">
        <f>IF(A206="","",MAX(K206,0)*E206)</f>
        <v/>
      </c>
      <c r="N206" s="16">
        <f>IF(A206="","",IF(K206&lt;=H206,MAX(2*H206-K206,0),0))</f>
        <v/>
      </c>
      <c r="O206" s="17">
        <f>IF(OR(A206="",F206=0,F206=""),"",(F206-E206)/F206)</f>
        <v/>
      </c>
    </row>
    <row r="207">
      <c r="A207" s="14" t="n"/>
      <c r="B207" s="14" t="n"/>
      <c r="C207" s="14" t="n"/>
      <c r="D207" s="14" t="n"/>
      <c r="E207" s="15" t="n"/>
      <c r="F207" s="15" t="n"/>
      <c r="G207" s="16" t="n"/>
      <c r="H207" s="16" t="n"/>
      <c r="I207" s="16">
        <f>IF(A207="","",SUMIFS('Movimentações'!$E$5:$E$5000,'Movimentações'!$B$5:$B$5000,A207,'Movimentações'!$D$5:$D$5000,"Entrada"))</f>
        <v/>
      </c>
      <c r="J207" s="16">
        <f>IF(A207="","",SUMIFS('Movimentações'!$E$5:$E$5000,'Movimentações'!$B$5:$B$5000,A207,'Movimentações'!$D$5:$D$5000,"Saída"))</f>
        <v/>
      </c>
      <c r="K207" s="16">
        <f>IF(A207="","",G207+I207-J207)</f>
        <v/>
      </c>
      <c r="L207" s="14">
        <f>IF(A207="","",IF(K207&lt;=0,"SEM ESTOQUE",IF(K207&lt;=H207,"REPOR","OK")))</f>
        <v/>
      </c>
      <c r="M207" s="15">
        <f>IF(A207="","",MAX(K207,0)*E207)</f>
        <v/>
      </c>
      <c r="N207" s="16">
        <f>IF(A207="","",IF(K207&lt;=H207,MAX(2*H207-K207,0),0))</f>
        <v/>
      </c>
      <c r="O207" s="17">
        <f>IF(OR(A207="",F207=0,F207=""),"",(F207-E207)/F207)</f>
        <v/>
      </c>
    </row>
    <row r="208">
      <c r="A208" s="14" t="n"/>
      <c r="B208" s="14" t="n"/>
      <c r="C208" s="14" t="n"/>
      <c r="D208" s="14" t="n"/>
      <c r="E208" s="15" t="n"/>
      <c r="F208" s="15" t="n"/>
      <c r="G208" s="16" t="n"/>
      <c r="H208" s="16" t="n"/>
      <c r="I208" s="16">
        <f>IF(A208="","",SUMIFS('Movimentações'!$E$5:$E$5000,'Movimentações'!$B$5:$B$5000,A208,'Movimentações'!$D$5:$D$5000,"Entrada"))</f>
        <v/>
      </c>
      <c r="J208" s="16">
        <f>IF(A208="","",SUMIFS('Movimentações'!$E$5:$E$5000,'Movimentações'!$B$5:$B$5000,A208,'Movimentações'!$D$5:$D$5000,"Saída"))</f>
        <v/>
      </c>
      <c r="K208" s="16">
        <f>IF(A208="","",G208+I208-J208)</f>
        <v/>
      </c>
      <c r="L208" s="14">
        <f>IF(A208="","",IF(K208&lt;=0,"SEM ESTOQUE",IF(K208&lt;=H208,"REPOR","OK")))</f>
        <v/>
      </c>
      <c r="M208" s="15">
        <f>IF(A208="","",MAX(K208,0)*E208)</f>
        <v/>
      </c>
      <c r="N208" s="16">
        <f>IF(A208="","",IF(K208&lt;=H208,MAX(2*H208-K208,0),0))</f>
        <v/>
      </c>
      <c r="O208" s="17">
        <f>IF(OR(A208="",F208=0,F208=""),"",(F208-E208)/F208)</f>
        <v/>
      </c>
    </row>
    <row r="209">
      <c r="A209" s="14" t="n"/>
      <c r="B209" s="14" t="n"/>
      <c r="C209" s="14" t="n"/>
      <c r="D209" s="14" t="n"/>
      <c r="E209" s="15" t="n"/>
      <c r="F209" s="15" t="n"/>
      <c r="G209" s="16" t="n"/>
      <c r="H209" s="16" t="n"/>
      <c r="I209" s="16">
        <f>IF(A209="","",SUMIFS('Movimentações'!$E$5:$E$5000,'Movimentações'!$B$5:$B$5000,A209,'Movimentações'!$D$5:$D$5000,"Entrada"))</f>
        <v/>
      </c>
      <c r="J209" s="16">
        <f>IF(A209="","",SUMIFS('Movimentações'!$E$5:$E$5000,'Movimentações'!$B$5:$B$5000,A209,'Movimentações'!$D$5:$D$5000,"Saída"))</f>
        <v/>
      </c>
      <c r="K209" s="16">
        <f>IF(A209="","",G209+I209-J209)</f>
        <v/>
      </c>
      <c r="L209" s="14">
        <f>IF(A209="","",IF(K209&lt;=0,"SEM ESTOQUE",IF(K209&lt;=H209,"REPOR","OK")))</f>
        <v/>
      </c>
      <c r="M209" s="15">
        <f>IF(A209="","",MAX(K209,0)*E209)</f>
        <v/>
      </c>
      <c r="N209" s="16">
        <f>IF(A209="","",IF(K209&lt;=H209,MAX(2*H209-K209,0),0))</f>
        <v/>
      </c>
      <c r="O209" s="17">
        <f>IF(OR(A209="",F209=0,F209=""),"",(F209-E209)/F209)</f>
        <v/>
      </c>
    </row>
    <row r="210">
      <c r="A210" s="14" t="n"/>
      <c r="B210" s="14" t="n"/>
      <c r="C210" s="14" t="n"/>
      <c r="D210" s="14" t="n"/>
      <c r="E210" s="15" t="n"/>
      <c r="F210" s="15" t="n"/>
      <c r="G210" s="16" t="n"/>
      <c r="H210" s="16" t="n"/>
      <c r="I210" s="16">
        <f>IF(A210="","",SUMIFS('Movimentações'!$E$5:$E$5000,'Movimentações'!$B$5:$B$5000,A210,'Movimentações'!$D$5:$D$5000,"Entrada"))</f>
        <v/>
      </c>
      <c r="J210" s="16">
        <f>IF(A210="","",SUMIFS('Movimentações'!$E$5:$E$5000,'Movimentações'!$B$5:$B$5000,A210,'Movimentações'!$D$5:$D$5000,"Saída"))</f>
        <v/>
      </c>
      <c r="K210" s="16">
        <f>IF(A210="","",G210+I210-J210)</f>
        <v/>
      </c>
      <c r="L210" s="14">
        <f>IF(A210="","",IF(K210&lt;=0,"SEM ESTOQUE",IF(K210&lt;=H210,"REPOR","OK")))</f>
        <v/>
      </c>
      <c r="M210" s="15">
        <f>IF(A210="","",MAX(K210,0)*E210)</f>
        <v/>
      </c>
      <c r="N210" s="16">
        <f>IF(A210="","",IF(K210&lt;=H210,MAX(2*H210-K210,0),0))</f>
        <v/>
      </c>
      <c r="O210" s="17">
        <f>IF(OR(A210="",F210=0,F210=""),"",(F210-E210)/F210)</f>
        <v/>
      </c>
    </row>
    <row r="211">
      <c r="A211" s="14" t="n"/>
      <c r="B211" s="14" t="n"/>
      <c r="C211" s="14" t="n"/>
      <c r="D211" s="14" t="n"/>
      <c r="E211" s="15" t="n"/>
      <c r="F211" s="15" t="n"/>
      <c r="G211" s="16" t="n"/>
      <c r="H211" s="16" t="n"/>
      <c r="I211" s="16">
        <f>IF(A211="","",SUMIFS('Movimentações'!$E$5:$E$5000,'Movimentações'!$B$5:$B$5000,A211,'Movimentações'!$D$5:$D$5000,"Entrada"))</f>
        <v/>
      </c>
      <c r="J211" s="16">
        <f>IF(A211="","",SUMIFS('Movimentações'!$E$5:$E$5000,'Movimentações'!$B$5:$B$5000,A211,'Movimentações'!$D$5:$D$5000,"Saída"))</f>
        <v/>
      </c>
      <c r="K211" s="16">
        <f>IF(A211="","",G211+I211-J211)</f>
        <v/>
      </c>
      <c r="L211" s="14">
        <f>IF(A211="","",IF(K211&lt;=0,"SEM ESTOQUE",IF(K211&lt;=H211,"REPOR","OK")))</f>
        <v/>
      </c>
      <c r="M211" s="15">
        <f>IF(A211="","",MAX(K211,0)*E211)</f>
        <v/>
      </c>
      <c r="N211" s="16">
        <f>IF(A211="","",IF(K211&lt;=H211,MAX(2*H211-K211,0),0))</f>
        <v/>
      </c>
      <c r="O211" s="17">
        <f>IF(OR(A211="",F211=0,F211=""),"",(F211-E211)/F211)</f>
        <v/>
      </c>
    </row>
    <row r="212">
      <c r="A212" s="14" t="n"/>
      <c r="B212" s="14" t="n"/>
      <c r="C212" s="14" t="n"/>
      <c r="D212" s="14" t="n"/>
      <c r="E212" s="15" t="n"/>
      <c r="F212" s="15" t="n"/>
      <c r="G212" s="16" t="n"/>
      <c r="H212" s="16" t="n"/>
      <c r="I212" s="16">
        <f>IF(A212="","",SUMIFS('Movimentações'!$E$5:$E$5000,'Movimentações'!$B$5:$B$5000,A212,'Movimentações'!$D$5:$D$5000,"Entrada"))</f>
        <v/>
      </c>
      <c r="J212" s="16">
        <f>IF(A212="","",SUMIFS('Movimentações'!$E$5:$E$5000,'Movimentações'!$B$5:$B$5000,A212,'Movimentações'!$D$5:$D$5000,"Saída"))</f>
        <v/>
      </c>
      <c r="K212" s="16">
        <f>IF(A212="","",G212+I212-J212)</f>
        <v/>
      </c>
      <c r="L212" s="14">
        <f>IF(A212="","",IF(K212&lt;=0,"SEM ESTOQUE",IF(K212&lt;=H212,"REPOR","OK")))</f>
        <v/>
      </c>
      <c r="M212" s="15">
        <f>IF(A212="","",MAX(K212,0)*E212)</f>
        <v/>
      </c>
      <c r="N212" s="16">
        <f>IF(A212="","",IF(K212&lt;=H212,MAX(2*H212-K212,0),0))</f>
        <v/>
      </c>
      <c r="O212" s="17">
        <f>IF(OR(A212="",F212=0,F212=""),"",(F212-E212)/F212)</f>
        <v/>
      </c>
    </row>
    <row r="213">
      <c r="A213" s="14" t="n"/>
      <c r="B213" s="14" t="n"/>
      <c r="C213" s="14" t="n"/>
      <c r="D213" s="14" t="n"/>
      <c r="E213" s="15" t="n"/>
      <c r="F213" s="15" t="n"/>
      <c r="G213" s="16" t="n"/>
      <c r="H213" s="16" t="n"/>
      <c r="I213" s="16">
        <f>IF(A213="","",SUMIFS('Movimentações'!$E$5:$E$5000,'Movimentações'!$B$5:$B$5000,A213,'Movimentações'!$D$5:$D$5000,"Entrada"))</f>
        <v/>
      </c>
      <c r="J213" s="16">
        <f>IF(A213="","",SUMIFS('Movimentações'!$E$5:$E$5000,'Movimentações'!$B$5:$B$5000,A213,'Movimentações'!$D$5:$D$5000,"Saída"))</f>
        <v/>
      </c>
      <c r="K213" s="16">
        <f>IF(A213="","",G213+I213-J213)</f>
        <v/>
      </c>
      <c r="L213" s="14">
        <f>IF(A213="","",IF(K213&lt;=0,"SEM ESTOQUE",IF(K213&lt;=H213,"REPOR","OK")))</f>
        <v/>
      </c>
      <c r="M213" s="15">
        <f>IF(A213="","",MAX(K213,0)*E213)</f>
        <v/>
      </c>
      <c r="N213" s="16">
        <f>IF(A213="","",IF(K213&lt;=H213,MAX(2*H213-K213,0),0))</f>
        <v/>
      </c>
      <c r="O213" s="17">
        <f>IF(OR(A213="",F213=0,F213=""),"",(F213-E213)/F213)</f>
        <v/>
      </c>
    </row>
    <row r="214">
      <c r="A214" s="14" t="n"/>
      <c r="B214" s="14" t="n"/>
      <c r="C214" s="14" t="n"/>
      <c r="D214" s="14" t="n"/>
      <c r="E214" s="15" t="n"/>
      <c r="F214" s="15" t="n"/>
      <c r="G214" s="16" t="n"/>
      <c r="H214" s="16" t="n"/>
      <c r="I214" s="16">
        <f>IF(A214="","",SUMIFS('Movimentações'!$E$5:$E$5000,'Movimentações'!$B$5:$B$5000,A214,'Movimentações'!$D$5:$D$5000,"Entrada"))</f>
        <v/>
      </c>
      <c r="J214" s="16">
        <f>IF(A214="","",SUMIFS('Movimentações'!$E$5:$E$5000,'Movimentações'!$B$5:$B$5000,A214,'Movimentações'!$D$5:$D$5000,"Saída"))</f>
        <v/>
      </c>
      <c r="K214" s="16">
        <f>IF(A214="","",G214+I214-J214)</f>
        <v/>
      </c>
      <c r="L214" s="14">
        <f>IF(A214="","",IF(K214&lt;=0,"SEM ESTOQUE",IF(K214&lt;=H214,"REPOR","OK")))</f>
        <v/>
      </c>
      <c r="M214" s="15">
        <f>IF(A214="","",MAX(K214,0)*E214)</f>
        <v/>
      </c>
      <c r="N214" s="16">
        <f>IF(A214="","",IF(K214&lt;=H214,MAX(2*H214-K214,0),0))</f>
        <v/>
      </c>
      <c r="O214" s="17">
        <f>IF(OR(A214="",F214=0,F214=""),"",(F214-E214)/F214)</f>
        <v/>
      </c>
    </row>
    <row r="215">
      <c r="A215" s="14" t="n"/>
      <c r="B215" s="14" t="n"/>
      <c r="C215" s="14" t="n"/>
      <c r="D215" s="14" t="n"/>
      <c r="E215" s="15" t="n"/>
      <c r="F215" s="15" t="n"/>
      <c r="G215" s="16" t="n"/>
      <c r="H215" s="16" t="n"/>
      <c r="I215" s="16">
        <f>IF(A215="","",SUMIFS('Movimentações'!$E$5:$E$5000,'Movimentações'!$B$5:$B$5000,A215,'Movimentações'!$D$5:$D$5000,"Entrada"))</f>
        <v/>
      </c>
      <c r="J215" s="16">
        <f>IF(A215="","",SUMIFS('Movimentações'!$E$5:$E$5000,'Movimentações'!$B$5:$B$5000,A215,'Movimentações'!$D$5:$D$5000,"Saída"))</f>
        <v/>
      </c>
      <c r="K215" s="16">
        <f>IF(A215="","",G215+I215-J215)</f>
        <v/>
      </c>
      <c r="L215" s="14">
        <f>IF(A215="","",IF(K215&lt;=0,"SEM ESTOQUE",IF(K215&lt;=H215,"REPOR","OK")))</f>
        <v/>
      </c>
      <c r="M215" s="15">
        <f>IF(A215="","",MAX(K215,0)*E215)</f>
        <v/>
      </c>
      <c r="N215" s="16">
        <f>IF(A215="","",IF(K215&lt;=H215,MAX(2*H215-K215,0),0))</f>
        <v/>
      </c>
      <c r="O215" s="17">
        <f>IF(OR(A215="",F215=0,F215=""),"",(F215-E215)/F215)</f>
        <v/>
      </c>
    </row>
    <row r="216">
      <c r="A216" s="14" t="n"/>
      <c r="B216" s="14" t="n"/>
      <c r="C216" s="14" t="n"/>
      <c r="D216" s="14" t="n"/>
      <c r="E216" s="15" t="n"/>
      <c r="F216" s="15" t="n"/>
      <c r="G216" s="16" t="n"/>
      <c r="H216" s="16" t="n"/>
      <c r="I216" s="16">
        <f>IF(A216="","",SUMIFS('Movimentações'!$E$5:$E$5000,'Movimentações'!$B$5:$B$5000,A216,'Movimentações'!$D$5:$D$5000,"Entrada"))</f>
        <v/>
      </c>
      <c r="J216" s="16">
        <f>IF(A216="","",SUMIFS('Movimentações'!$E$5:$E$5000,'Movimentações'!$B$5:$B$5000,A216,'Movimentações'!$D$5:$D$5000,"Saída"))</f>
        <v/>
      </c>
      <c r="K216" s="16">
        <f>IF(A216="","",G216+I216-J216)</f>
        <v/>
      </c>
      <c r="L216" s="14">
        <f>IF(A216="","",IF(K216&lt;=0,"SEM ESTOQUE",IF(K216&lt;=H216,"REPOR","OK")))</f>
        <v/>
      </c>
      <c r="M216" s="15">
        <f>IF(A216="","",MAX(K216,0)*E216)</f>
        <v/>
      </c>
      <c r="N216" s="16">
        <f>IF(A216="","",IF(K216&lt;=H216,MAX(2*H216-K216,0),0))</f>
        <v/>
      </c>
      <c r="O216" s="17">
        <f>IF(OR(A216="",F216=0,F216=""),"",(F216-E216)/F216)</f>
        <v/>
      </c>
    </row>
    <row r="217">
      <c r="A217" s="14" t="n"/>
      <c r="B217" s="14" t="n"/>
      <c r="C217" s="14" t="n"/>
      <c r="D217" s="14" t="n"/>
      <c r="E217" s="15" t="n"/>
      <c r="F217" s="15" t="n"/>
      <c r="G217" s="16" t="n"/>
      <c r="H217" s="16" t="n"/>
      <c r="I217" s="16">
        <f>IF(A217="","",SUMIFS('Movimentações'!$E$5:$E$5000,'Movimentações'!$B$5:$B$5000,A217,'Movimentações'!$D$5:$D$5000,"Entrada"))</f>
        <v/>
      </c>
      <c r="J217" s="16">
        <f>IF(A217="","",SUMIFS('Movimentações'!$E$5:$E$5000,'Movimentações'!$B$5:$B$5000,A217,'Movimentações'!$D$5:$D$5000,"Saída"))</f>
        <v/>
      </c>
      <c r="K217" s="16">
        <f>IF(A217="","",G217+I217-J217)</f>
        <v/>
      </c>
      <c r="L217" s="14">
        <f>IF(A217="","",IF(K217&lt;=0,"SEM ESTOQUE",IF(K217&lt;=H217,"REPOR","OK")))</f>
        <v/>
      </c>
      <c r="M217" s="15">
        <f>IF(A217="","",MAX(K217,0)*E217)</f>
        <v/>
      </c>
      <c r="N217" s="16">
        <f>IF(A217="","",IF(K217&lt;=H217,MAX(2*H217-K217,0),0))</f>
        <v/>
      </c>
      <c r="O217" s="17">
        <f>IF(OR(A217="",F217=0,F217=""),"",(F217-E217)/F217)</f>
        <v/>
      </c>
    </row>
    <row r="218">
      <c r="A218" s="14" t="n"/>
      <c r="B218" s="14" t="n"/>
      <c r="C218" s="14" t="n"/>
      <c r="D218" s="14" t="n"/>
      <c r="E218" s="15" t="n"/>
      <c r="F218" s="15" t="n"/>
      <c r="G218" s="16" t="n"/>
      <c r="H218" s="16" t="n"/>
      <c r="I218" s="16">
        <f>IF(A218="","",SUMIFS('Movimentações'!$E$5:$E$5000,'Movimentações'!$B$5:$B$5000,A218,'Movimentações'!$D$5:$D$5000,"Entrada"))</f>
        <v/>
      </c>
      <c r="J218" s="16">
        <f>IF(A218="","",SUMIFS('Movimentações'!$E$5:$E$5000,'Movimentações'!$B$5:$B$5000,A218,'Movimentações'!$D$5:$D$5000,"Saída"))</f>
        <v/>
      </c>
      <c r="K218" s="16">
        <f>IF(A218="","",G218+I218-J218)</f>
        <v/>
      </c>
      <c r="L218" s="14">
        <f>IF(A218="","",IF(K218&lt;=0,"SEM ESTOQUE",IF(K218&lt;=H218,"REPOR","OK")))</f>
        <v/>
      </c>
      <c r="M218" s="15">
        <f>IF(A218="","",MAX(K218,0)*E218)</f>
        <v/>
      </c>
      <c r="N218" s="16">
        <f>IF(A218="","",IF(K218&lt;=H218,MAX(2*H218-K218,0),0))</f>
        <v/>
      </c>
      <c r="O218" s="17">
        <f>IF(OR(A218="",F218=0,F218=""),"",(F218-E218)/F218)</f>
        <v/>
      </c>
    </row>
    <row r="219">
      <c r="A219" s="14" t="n"/>
      <c r="B219" s="14" t="n"/>
      <c r="C219" s="14" t="n"/>
      <c r="D219" s="14" t="n"/>
      <c r="E219" s="15" t="n"/>
      <c r="F219" s="15" t="n"/>
      <c r="G219" s="16" t="n"/>
      <c r="H219" s="16" t="n"/>
      <c r="I219" s="16">
        <f>IF(A219="","",SUMIFS('Movimentações'!$E$5:$E$5000,'Movimentações'!$B$5:$B$5000,A219,'Movimentações'!$D$5:$D$5000,"Entrada"))</f>
        <v/>
      </c>
      <c r="J219" s="16">
        <f>IF(A219="","",SUMIFS('Movimentações'!$E$5:$E$5000,'Movimentações'!$B$5:$B$5000,A219,'Movimentações'!$D$5:$D$5000,"Saída"))</f>
        <v/>
      </c>
      <c r="K219" s="16">
        <f>IF(A219="","",G219+I219-J219)</f>
        <v/>
      </c>
      <c r="L219" s="14">
        <f>IF(A219="","",IF(K219&lt;=0,"SEM ESTOQUE",IF(K219&lt;=H219,"REPOR","OK")))</f>
        <v/>
      </c>
      <c r="M219" s="15">
        <f>IF(A219="","",MAX(K219,0)*E219)</f>
        <v/>
      </c>
      <c r="N219" s="16">
        <f>IF(A219="","",IF(K219&lt;=H219,MAX(2*H219-K219,0),0))</f>
        <v/>
      </c>
      <c r="O219" s="17">
        <f>IF(OR(A219="",F219=0,F219=""),"",(F219-E219)/F219)</f>
        <v/>
      </c>
    </row>
    <row r="220">
      <c r="A220" s="14" t="n"/>
      <c r="B220" s="14" t="n"/>
      <c r="C220" s="14" t="n"/>
      <c r="D220" s="14" t="n"/>
      <c r="E220" s="15" t="n"/>
      <c r="F220" s="15" t="n"/>
      <c r="G220" s="16" t="n"/>
      <c r="H220" s="16" t="n"/>
      <c r="I220" s="16">
        <f>IF(A220="","",SUMIFS('Movimentações'!$E$5:$E$5000,'Movimentações'!$B$5:$B$5000,A220,'Movimentações'!$D$5:$D$5000,"Entrada"))</f>
        <v/>
      </c>
      <c r="J220" s="16">
        <f>IF(A220="","",SUMIFS('Movimentações'!$E$5:$E$5000,'Movimentações'!$B$5:$B$5000,A220,'Movimentações'!$D$5:$D$5000,"Saída"))</f>
        <v/>
      </c>
      <c r="K220" s="16">
        <f>IF(A220="","",G220+I220-J220)</f>
        <v/>
      </c>
      <c r="L220" s="14">
        <f>IF(A220="","",IF(K220&lt;=0,"SEM ESTOQUE",IF(K220&lt;=H220,"REPOR","OK")))</f>
        <v/>
      </c>
      <c r="M220" s="15">
        <f>IF(A220="","",MAX(K220,0)*E220)</f>
        <v/>
      </c>
      <c r="N220" s="16">
        <f>IF(A220="","",IF(K220&lt;=H220,MAX(2*H220-K220,0),0))</f>
        <v/>
      </c>
      <c r="O220" s="17">
        <f>IF(OR(A220="",F220=0,F220=""),"",(F220-E220)/F220)</f>
        <v/>
      </c>
    </row>
    <row r="221">
      <c r="A221" s="14" t="n"/>
      <c r="B221" s="14" t="n"/>
      <c r="C221" s="14" t="n"/>
      <c r="D221" s="14" t="n"/>
      <c r="E221" s="15" t="n"/>
      <c r="F221" s="15" t="n"/>
      <c r="G221" s="16" t="n"/>
      <c r="H221" s="16" t="n"/>
      <c r="I221" s="16">
        <f>IF(A221="","",SUMIFS('Movimentações'!$E$5:$E$5000,'Movimentações'!$B$5:$B$5000,A221,'Movimentações'!$D$5:$D$5000,"Entrada"))</f>
        <v/>
      </c>
      <c r="J221" s="16">
        <f>IF(A221="","",SUMIFS('Movimentações'!$E$5:$E$5000,'Movimentações'!$B$5:$B$5000,A221,'Movimentações'!$D$5:$D$5000,"Saída"))</f>
        <v/>
      </c>
      <c r="K221" s="16">
        <f>IF(A221="","",G221+I221-J221)</f>
        <v/>
      </c>
      <c r="L221" s="14">
        <f>IF(A221="","",IF(K221&lt;=0,"SEM ESTOQUE",IF(K221&lt;=H221,"REPOR","OK")))</f>
        <v/>
      </c>
      <c r="M221" s="15">
        <f>IF(A221="","",MAX(K221,0)*E221)</f>
        <v/>
      </c>
      <c r="N221" s="16">
        <f>IF(A221="","",IF(K221&lt;=H221,MAX(2*H221-K221,0),0))</f>
        <v/>
      </c>
      <c r="O221" s="17">
        <f>IF(OR(A221="",F221=0,F221=""),"",(F221-E221)/F221)</f>
        <v/>
      </c>
    </row>
    <row r="222">
      <c r="A222" s="14" t="n"/>
      <c r="B222" s="14" t="n"/>
      <c r="C222" s="14" t="n"/>
      <c r="D222" s="14" t="n"/>
      <c r="E222" s="15" t="n"/>
      <c r="F222" s="15" t="n"/>
      <c r="G222" s="16" t="n"/>
      <c r="H222" s="16" t="n"/>
      <c r="I222" s="16">
        <f>IF(A222="","",SUMIFS('Movimentações'!$E$5:$E$5000,'Movimentações'!$B$5:$B$5000,A222,'Movimentações'!$D$5:$D$5000,"Entrada"))</f>
        <v/>
      </c>
      <c r="J222" s="16">
        <f>IF(A222="","",SUMIFS('Movimentações'!$E$5:$E$5000,'Movimentações'!$B$5:$B$5000,A222,'Movimentações'!$D$5:$D$5000,"Saída"))</f>
        <v/>
      </c>
      <c r="K222" s="16">
        <f>IF(A222="","",G222+I222-J222)</f>
        <v/>
      </c>
      <c r="L222" s="14">
        <f>IF(A222="","",IF(K222&lt;=0,"SEM ESTOQUE",IF(K222&lt;=H222,"REPOR","OK")))</f>
        <v/>
      </c>
      <c r="M222" s="15">
        <f>IF(A222="","",MAX(K222,0)*E222)</f>
        <v/>
      </c>
      <c r="N222" s="16">
        <f>IF(A222="","",IF(K222&lt;=H222,MAX(2*H222-K222,0),0))</f>
        <v/>
      </c>
      <c r="O222" s="17">
        <f>IF(OR(A222="",F222=0,F222=""),"",(F222-E222)/F222)</f>
        <v/>
      </c>
    </row>
    <row r="223">
      <c r="A223" s="14" t="n"/>
      <c r="B223" s="14" t="n"/>
      <c r="C223" s="14" t="n"/>
      <c r="D223" s="14" t="n"/>
      <c r="E223" s="15" t="n"/>
      <c r="F223" s="15" t="n"/>
      <c r="G223" s="16" t="n"/>
      <c r="H223" s="16" t="n"/>
      <c r="I223" s="16">
        <f>IF(A223="","",SUMIFS('Movimentações'!$E$5:$E$5000,'Movimentações'!$B$5:$B$5000,A223,'Movimentações'!$D$5:$D$5000,"Entrada"))</f>
        <v/>
      </c>
      <c r="J223" s="16">
        <f>IF(A223="","",SUMIFS('Movimentações'!$E$5:$E$5000,'Movimentações'!$B$5:$B$5000,A223,'Movimentações'!$D$5:$D$5000,"Saída"))</f>
        <v/>
      </c>
      <c r="K223" s="16">
        <f>IF(A223="","",G223+I223-J223)</f>
        <v/>
      </c>
      <c r="L223" s="14">
        <f>IF(A223="","",IF(K223&lt;=0,"SEM ESTOQUE",IF(K223&lt;=H223,"REPOR","OK")))</f>
        <v/>
      </c>
      <c r="M223" s="15">
        <f>IF(A223="","",MAX(K223,0)*E223)</f>
        <v/>
      </c>
      <c r="N223" s="16">
        <f>IF(A223="","",IF(K223&lt;=H223,MAX(2*H223-K223,0),0))</f>
        <v/>
      </c>
      <c r="O223" s="17">
        <f>IF(OR(A223="",F223=0,F223=""),"",(F223-E223)/F223)</f>
        <v/>
      </c>
    </row>
    <row r="224">
      <c r="A224" s="14" t="n"/>
      <c r="B224" s="14" t="n"/>
      <c r="C224" s="14" t="n"/>
      <c r="D224" s="14" t="n"/>
      <c r="E224" s="15" t="n"/>
      <c r="F224" s="15" t="n"/>
      <c r="G224" s="16" t="n"/>
      <c r="H224" s="16" t="n"/>
      <c r="I224" s="16">
        <f>IF(A224="","",SUMIFS('Movimentações'!$E$5:$E$5000,'Movimentações'!$B$5:$B$5000,A224,'Movimentações'!$D$5:$D$5000,"Entrada"))</f>
        <v/>
      </c>
      <c r="J224" s="16">
        <f>IF(A224="","",SUMIFS('Movimentações'!$E$5:$E$5000,'Movimentações'!$B$5:$B$5000,A224,'Movimentações'!$D$5:$D$5000,"Saída"))</f>
        <v/>
      </c>
      <c r="K224" s="16">
        <f>IF(A224="","",G224+I224-J224)</f>
        <v/>
      </c>
      <c r="L224" s="14">
        <f>IF(A224="","",IF(K224&lt;=0,"SEM ESTOQUE",IF(K224&lt;=H224,"REPOR","OK")))</f>
        <v/>
      </c>
      <c r="M224" s="15">
        <f>IF(A224="","",MAX(K224,0)*E224)</f>
        <v/>
      </c>
      <c r="N224" s="16">
        <f>IF(A224="","",IF(K224&lt;=H224,MAX(2*H224-K224,0),0))</f>
        <v/>
      </c>
      <c r="O224" s="17">
        <f>IF(OR(A224="",F224=0,F224=""),"",(F224-E224)/F224)</f>
        <v/>
      </c>
    </row>
    <row r="225">
      <c r="A225" s="14" t="n"/>
      <c r="B225" s="14" t="n"/>
      <c r="C225" s="14" t="n"/>
      <c r="D225" s="14" t="n"/>
      <c r="E225" s="15" t="n"/>
      <c r="F225" s="15" t="n"/>
      <c r="G225" s="16" t="n"/>
      <c r="H225" s="16" t="n"/>
      <c r="I225" s="16">
        <f>IF(A225="","",SUMIFS('Movimentações'!$E$5:$E$5000,'Movimentações'!$B$5:$B$5000,A225,'Movimentações'!$D$5:$D$5000,"Entrada"))</f>
        <v/>
      </c>
      <c r="J225" s="16">
        <f>IF(A225="","",SUMIFS('Movimentações'!$E$5:$E$5000,'Movimentações'!$B$5:$B$5000,A225,'Movimentações'!$D$5:$D$5000,"Saída"))</f>
        <v/>
      </c>
      <c r="K225" s="16">
        <f>IF(A225="","",G225+I225-J225)</f>
        <v/>
      </c>
      <c r="L225" s="14">
        <f>IF(A225="","",IF(K225&lt;=0,"SEM ESTOQUE",IF(K225&lt;=H225,"REPOR","OK")))</f>
        <v/>
      </c>
      <c r="M225" s="15">
        <f>IF(A225="","",MAX(K225,0)*E225)</f>
        <v/>
      </c>
      <c r="N225" s="16">
        <f>IF(A225="","",IF(K225&lt;=H225,MAX(2*H225-K225,0),0))</f>
        <v/>
      </c>
      <c r="O225" s="17">
        <f>IF(OR(A225="",F225=0,F225=""),"",(F225-E225)/F225)</f>
        <v/>
      </c>
    </row>
    <row r="226">
      <c r="A226" s="14" t="n"/>
      <c r="B226" s="14" t="n"/>
      <c r="C226" s="14" t="n"/>
      <c r="D226" s="14" t="n"/>
      <c r="E226" s="15" t="n"/>
      <c r="F226" s="15" t="n"/>
      <c r="G226" s="16" t="n"/>
      <c r="H226" s="16" t="n"/>
      <c r="I226" s="16">
        <f>IF(A226="","",SUMIFS('Movimentações'!$E$5:$E$5000,'Movimentações'!$B$5:$B$5000,A226,'Movimentações'!$D$5:$D$5000,"Entrada"))</f>
        <v/>
      </c>
      <c r="J226" s="16">
        <f>IF(A226="","",SUMIFS('Movimentações'!$E$5:$E$5000,'Movimentações'!$B$5:$B$5000,A226,'Movimentações'!$D$5:$D$5000,"Saída"))</f>
        <v/>
      </c>
      <c r="K226" s="16">
        <f>IF(A226="","",G226+I226-J226)</f>
        <v/>
      </c>
      <c r="L226" s="14">
        <f>IF(A226="","",IF(K226&lt;=0,"SEM ESTOQUE",IF(K226&lt;=H226,"REPOR","OK")))</f>
        <v/>
      </c>
      <c r="M226" s="15">
        <f>IF(A226="","",MAX(K226,0)*E226)</f>
        <v/>
      </c>
      <c r="N226" s="16">
        <f>IF(A226="","",IF(K226&lt;=H226,MAX(2*H226-K226,0),0))</f>
        <v/>
      </c>
      <c r="O226" s="17">
        <f>IF(OR(A226="",F226=0,F226=""),"",(F226-E226)/F226)</f>
        <v/>
      </c>
    </row>
    <row r="227">
      <c r="A227" s="14" t="n"/>
      <c r="B227" s="14" t="n"/>
      <c r="C227" s="14" t="n"/>
      <c r="D227" s="14" t="n"/>
      <c r="E227" s="15" t="n"/>
      <c r="F227" s="15" t="n"/>
      <c r="G227" s="16" t="n"/>
      <c r="H227" s="16" t="n"/>
      <c r="I227" s="16">
        <f>IF(A227="","",SUMIFS('Movimentações'!$E$5:$E$5000,'Movimentações'!$B$5:$B$5000,A227,'Movimentações'!$D$5:$D$5000,"Entrada"))</f>
        <v/>
      </c>
      <c r="J227" s="16">
        <f>IF(A227="","",SUMIFS('Movimentações'!$E$5:$E$5000,'Movimentações'!$B$5:$B$5000,A227,'Movimentações'!$D$5:$D$5000,"Saída"))</f>
        <v/>
      </c>
      <c r="K227" s="16">
        <f>IF(A227="","",G227+I227-J227)</f>
        <v/>
      </c>
      <c r="L227" s="14">
        <f>IF(A227="","",IF(K227&lt;=0,"SEM ESTOQUE",IF(K227&lt;=H227,"REPOR","OK")))</f>
        <v/>
      </c>
      <c r="M227" s="15">
        <f>IF(A227="","",MAX(K227,0)*E227)</f>
        <v/>
      </c>
      <c r="N227" s="16">
        <f>IF(A227="","",IF(K227&lt;=H227,MAX(2*H227-K227,0),0))</f>
        <v/>
      </c>
      <c r="O227" s="17">
        <f>IF(OR(A227="",F227=0,F227=""),"",(F227-E227)/F227)</f>
        <v/>
      </c>
    </row>
    <row r="228">
      <c r="A228" s="14" t="n"/>
      <c r="B228" s="14" t="n"/>
      <c r="C228" s="14" t="n"/>
      <c r="D228" s="14" t="n"/>
      <c r="E228" s="15" t="n"/>
      <c r="F228" s="15" t="n"/>
      <c r="G228" s="16" t="n"/>
      <c r="H228" s="16" t="n"/>
      <c r="I228" s="16">
        <f>IF(A228="","",SUMIFS('Movimentações'!$E$5:$E$5000,'Movimentações'!$B$5:$B$5000,A228,'Movimentações'!$D$5:$D$5000,"Entrada"))</f>
        <v/>
      </c>
      <c r="J228" s="16">
        <f>IF(A228="","",SUMIFS('Movimentações'!$E$5:$E$5000,'Movimentações'!$B$5:$B$5000,A228,'Movimentações'!$D$5:$D$5000,"Saída"))</f>
        <v/>
      </c>
      <c r="K228" s="16">
        <f>IF(A228="","",G228+I228-J228)</f>
        <v/>
      </c>
      <c r="L228" s="14">
        <f>IF(A228="","",IF(K228&lt;=0,"SEM ESTOQUE",IF(K228&lt;=H228,"REPOR","OK")))</f>
        <v/>
      </c>
      <c r="M228" s="15">
        <f>IF(A228="","",MAX(K228,0)*E228)</f>
        <v/>
      </c>
      <c r="N228" s="16">
        <f>IF(A228="","",IF(K228&lt;=H228,MAX(2*H228-K228,0),0))</f>
        <v/>
      </c>
      <c r="O228" s="17">
        <f>IF(OR(A228="",F228=0,F228=""),"",(F228-E228)/F228)</f>
        <v/>
      </c>
    </row>
    <row r="229">
      <c r="A229" s="14" t="n"/>
      <c r="B229" s="14" t="n"/>
      <c r="C229" s="14" t="n"/>
      <c r="D229" s="14" t="n"/>
      <c r="E229" s="15" t="n"/>
      <c r="F229" s="15" t="n"/>
      <c r="G229" s="16" t="n"/>
      <c r="H229" s="16" t="n"/>
      <c r="I229" s="16">
        <f>IF(A229="","",SUMIFS('Movimentações'!$E$5:$E$5000,'Movimentações'!$B$5:$B$5000,A229,'Movimentações'!$D$5:$D$5000,"Entrada"))</f>
        <v/>
      </c>
      <c r="J229" s="16">
        <f>IF(A229="","",SUMIFS('Movimentações'!$E$5:$E$5000,'Movimentações'!$B$5:$B$5000,A229,'Movimentações'!$D$5:$D$5000,"Saída"))</f>
        <v/>
      </c>
      <c r="K229" s="16">
        <f>IF(A229="","",G229+I229-J229)</f>
        <v/>
      </c>
      <c r="L229" s="14">
        <f>IF(A229="","",IF(K229&lt;=0,"SEM ESTOQUE",IF(K229&lt;=H229,"REPOR","OK")))</f>
        <v/>
      </c>
      <c r="M229" s="15">
        <f>IF(A229="","",MAX(K229,0)*E229)</f>
        <v/>
      </c>
      <c r="N229" s="16">
        <f>IF(A229="","",IF(K229&lt;=H229,MAX(2*H229-K229,0),0))</f>
        <v/>
      </c>
      <c r="O229" s="17">
        <f>IF(OR(A229="",F229=0,F229=""),"",(F229-E229)/F229)</f>
        <v/>
      </c>
    </row>
    <row r="230">
      <c r="A230" s="14" t="n"/>
      <c r="B230" s="14" t="n"/>
      <c r="C230" s="14" t="n"/>
      <c r="D230" s="14" t="n"/>
      <c r="E230" s="15" t="n"/>
      <c r="F230" s="15" t="n"/>
      <c r="G230" s="16" t="n"/>
      <c r="H230" s="16" t="n"/>
      <c r="I230" s="16">
        <f>IF(A230="","",SUMIFS('Movimentações'!$E$5:$E$5000,'Movimentações'!$B$5:$B$5000,A230,'Movimentações'!$D$5:$D$5000,"Entrada"))</f>
        <v/>
      </c>
      <c r="J230" s="16">
        <f>IF(A230="","",SUMIFS('Movimentações'!$E$5:$E$5000,'Movimentações'!$B$5:$B$5000,A230,'Movimentações'!$D$5:$D$5000,"Saída"))</f>
        <v/>
      </c>
      <c r="K230" s="16">
        <f>IF(A230="","",G230+I230-J230)</f>
        <v/>
      </c>
      <c r="L230" s="14">
        <f>IF(A230="","",IF(K230&lt;=0,"SEM ESTOQUE",IF(K230&lt;=H230,"REPOR","OK")))</f>
        <v/>
      </c>
      <c r="M230" s="15">
        <f>IF(A230="","",MAX(K230,0)*E230)</f>
        <v/>
      </c>
      <c r="N230" s="16">
        <f>IF(A230="","",IF(K230&lt;=H230,MAX(2*H230-K230,0),0))</f>
        <v/>
      </c>
      <c r="O230" s="17">
        <f>IF(OR(A230="",F230=0,F230=""),"",(F230-E230)/F230)</f>
        <v/>
      </c>
    </row>
    <row r="231">
      <c r="A231" s="14" t="n"/>
      <c r="B231" s="14" t="n"/>
      <c r="C231" s="14" t="n"/>
      <c r="D231" s="14" t="n"/>
      <c r="E231" s="15" t="n"/>
      <c r="F231" s="15" t="n"/>
      <c r="G231" s="16" t="n"/>
      <c r="H231" s="16" t="n"/>
      <c r="I231" s="16">
        <f>IF(A231="","",SUMIFS('Movimentações'!$E$5:$E$5000,'Movimentações'!$B$5:$B$5000,A231,'Movimentações'!$D$5:$D$5000,"Entrada"))</f>
        <v/>
      </c>
      <c r="J231" s="16">
        <f>IF(A231="","",SUMIFS('Movimentações'!$E$5:$E$5000,'Movimentações'!$B$5:$B$5000,A231,'Movimentações'!$D$5:$D$5000,"Saída"))</f>
        <v/>
      </c>
      <c r="K231" s="16">
        <f>IF(A231="","",G231+I231-J231)</f>
        <v/>
      </c>
      <c r="L231" s="14">
        <f>IF(A231="","",IF(K231&lt;=0,"SEM ESTOQUE",IF(K231&lt;=H231,"REPOR","OK")))</f>
        <v/>
      </c>
      <c r="M231" s="15">
        <f>IF(A231="","",MAX(K231,0)*E231)</f>
        <v/>
      </c>
      <c r="N231" s="16">
        <f>IF(A231="","",IF(K231&lt;=H231,MAX(2*H231-K231,0),0))</f>
        <v/>
      </c>
      <c r="O231" s="17">
        <f>IF(OR(A231="",F231=0,F231=""),"",(F231-E231)/F231)</f>
        <v/>
      </c>
    </row>
    <row r="232">
      <c r="A232" s="14" t="n"/>
      <c r="B232" s="14" t="n"/>
      <c r="C232" s="14" t="n"/>
      <c r="D232" s="14" t="n"/>
      <c r="E232" s="15" t="n"/>
      <c r="F232" s="15" t="n"/>
      <c r="G232" s="16" t="n"/>
      <c r="H232" s="16" t="n"/>
      <c r="I232" s="16">
        <f>IF(A232="","",SUMIFS('Movimentações'!$E$5:$E$5000,'Movimentações'!$B$5:$B$5000,A232,'Movimentações'!$D$5:$D$5000,"Entrada"))</f>
        <v/>
      </c>
      <c r="J232" s="16">
        <f>IF(A232="","",SUMIFS('Movimentações'!$E$5:$E$5000,'Movimentações'!$B$5:$B$5000,A232,'Movimentações'!$D$5:$D$5000,"Saída"))</f>
        <v/>
      </c>
      <c r="K232" s="16">
        <f>IF(A232="","",G232+I232-J232)</f>
        <v/>
      </c>
      <c r="L232" s="14">
        <f>IF(A232="","",IF(K232&lt;=0,"SEM ESTOQUE",IF(K232&lt;=H232,"REPOR","OK")))</f>
        <v/>
      </c>
      <c r="M232" s="15">
        <f>IF(A232="","",MAX(K232,0)*E232)</f>
        <v/>
      </c>
      <c r="N232" s="16">
        <f>IF(A232="","",IF(K232&lt;=H232,MAX(2*H232-K232,0),0))</f>
        <v/>
      </c>
      <c r="O232" s="17">
        <f>IF(OR(A232="",F232=0,F232=""),"",(F232-E232)/F232)</f>
        <v/>
      </c>
    </row>
    <row r="233">
      <c r="A233" s="14" t="n"/>
      <c r="B233" s="14" t="n"/>
      <c r="C233" s="14" t="n"/>
      <c r="D233" s="14" t="n"/>
      <c r="E233" s="15" t="n"/>
      <c r="F233" s="15" t="n"/>
      <c r="G233" s="16" t="n"/>
      <c r="H233" s="16" t="n"/>
      <c r="I233" s="16">
        <f>IF(A233="","",SUMIFS('Movimentações'!$E$5:$E$5000,'Movimentações'!$B$5:$B$5000,A233,'Movimentações'!$D$5:$D$5000,"Entrada"))</f>
        <v/>
      </c>
      <c r="J233" s="16">
        <f>IF(A233="","",SUMIFS('Movimentações'!$E$5:$E$5000,'Movimentações'!$B$5:$B$5000,A233,'Movimentações'!$D$5:$D$5000,"Saída"))</f>
        <v/>
      </c>
      <c r="K233" s="16">
        <f>IF(A233="","",G233+I233-J233)</f>
        <v/>
      </c>
      <c r="L233" s="14">
        <f>IF(A233="","",IF(K233&lt;=0,"SEM ESTOQUE",IF(K233&lt;=H233,"REPOR","OK")))</f>
        <v/>
      </c>
      <c r="M233" s="15">
        <f>IF(A233="","",MAX(K233,0)*E233)</f>
        <v/>
      </c>
      <c r="N233" s="16">
        <f>IF(A233="","",IF(K233&lt;=H233,MAX(2*H233-K233,0),0))</f>
        <v/>
      </c>
      <c r="O233" s="17">
        <f>IF(OR(A233="",F233=0,F233=""),"",(F233-E233)/F233)</f>
        <v/>
      </c>
    </row>
    <row r="234">
      <c r="A234" s="14" t="n"/>
      <c r="B234" s="14" t="n"/>
      <c r="C234" s="14" t="n"/>
      <c r="D234" s="14" t="n"/>
      <c r="E234" s="15" t="n"/>
      <c r="F234" s="15" t="n"/>
      <c r="G234" s="16" t="n"/>
      <c r="H234" s="16" t="n"/>
      <c r="I234" s="16">
        <f>IF(A234="","",SUMIFS('Movimentações'!$E$5:$E$5000,'Movimentações'!$B$5:$B$5000,A234,'Movimentações'!$D$5:$D$5000,"Entrada"))</f>
        <v/>
      </c>
      <c r="J234" s="16">
        <f>IF(A234="","",SUMIFS('Movimentações'!$E$5:$E$5000,'Movimentações'!$B$5:$B$5000,A234,'Movimentações'!$D$5:$D$5000,"Saída"))</f>
        <v/>
      </c>
      <c r="K234" s="16">
        <f>IF(A234="","",G234+I234-J234)</f>
        <v/>
      </c>
      <c r="L234" s="14">
        <f>IF(A234="","",IF(K234&lt;=0,"SEM ESTOQUE",IF(K234&lt;=H234,"REPOR","OK")))</f>
        <v/>
      </c>
      <c r="M234" s="15">
        <f>IF(A234="","",MAX(K234,0)*E234)</f>
        <v/>
      </c>
      <c r="N234" s="16">
        <f>IF(A234="","",IF(K234&lt;=H234,MAX(2*H234-K234,0),0))</f>
        <v/>
      </c>
      <c r="O234" s="17">
        <f>IF(OR(A234="",F234=0,F234=""),"",(F234-E234)/F234)</f>
        <v/>
      </c>
    </row>
    <row r="235">
      <c r="A235" s="14" t="n"/>
      <c r="B235" s="14" t="n"/>
      <c r="C235" s="14" t="n"/>
      <c r="D235" s="14" t="n"/>
      <c r="E235" s="15" t="n"/>
      <c r="F235" s="15" t="n"/>
      <c r="G235" s="16" t="n"/>
      <c r="H235" s="16" t="n"/>
      <c r="I235" s="16">
        <f>IF(A235="","",SUMIFS('Movimentações'!$E$5:$E$5000,'Movimentações'!$B$5:$B$5000,A235,'Movimentações'!$D$5:$D$5000,"Entrada"))</f>
        <v/>
      </c>
      <c r="J235" s="16">
        <f>IF(A235="","",SUMIFS('Movimentações'!$E$5:$E$5000,'Movimentações'!$B$5:$B$5000,A235,'Movimentações'!$D$5:$D$5000,"Saída"))</f>
        <v/>
      </c>
      <c r="K235" s="16">
        <f>IF(A235="","",G235+I235-J235)</f>
        <v/>
      </c>
      <c r="L235" s="14">
        <f>IF(A235="","",IF(K235&lt;=0,"SEM ESTOQUE",IF(K235&lt;=H235,"REPOR","OK")))</f>
        <v/>
      </c>
      <c r="M235" s="15">
        <f>IF(A235="","",MAX(K235,0)*E235)</f>
        <v/>
      </c>
      <c r="N235" s="16">
        <f>IF(A235="","",IF(K235&lt;=H235,MAX(2*H235-K235,0),0))</f>
        <v/>
      </c>
      <c r="O235" s="17">
        <f>IF(OR(A235="",F235=0,F235=""),"",(F235-E235)/F235)</f>
        <v/>
      </c>
    </row>
    <row r="236">
      <c r="A236" s="14" t="n"/>
      <c r="B236" s="14" t="n"/>
      <c r="C236" s="14" t="n"/>
      <c r="D236" s="14" t="n"/>
      <c r="E236" s="15" t="n"/>
      <c r="F236" s="15" t="n"/>
      <c r="G236" s="16" t="n"/>
      <c r="H236" s="16" t="n"/>
      <c r="I236" s="16">
        <f>IF(A236="","",SUMIFS('Movimentações'!$E$5:$E$5000,'Movimentações'!$B$5:$B$5000,A236,'Movimentações'!$D$5:$D$5000,"Entrada"))</f>
        <v/>
      </c>
      <c r="J236" s="16">
        <f>IF(A236="","",SUMIFS('Movimentações'!$E$5:$E$5000,'Movimentações'!$B$5:$B$5000,A236,'Movimentações'!$D$5:$D$5000,"Saída"))</f>
        <v/>
      </c>
      <c r="K236" s="16">
        <f>IF(A236="","",G236+I236-J236)</f>
        <v/>
      </c>
      <c r="L236" s="14">
        <f>IF(A236="","",IF(K236&lt;=0,"SEM ESTOQUE",IF(K236&lt;=H236,"REPOR","OK")))</f>
        <v/>
      </c>
      <c r="M236" s="15">
        <f>IF(A236="","",MAX(K236,0)*E236)</f>
        <v/>
      </c>
      <c r="N236" s="16">
        <f>IF(A236="","",IF(K236&lt;=H236,MAX(2*H236-K236,0),0))</f>
        <v/>
      </c>
      <c r="O236" s="17">
        <f>IF(OR(A236="",F236=0,F236=""),"",(F236-E236)/F236)</f>
        <v/>
      </c>
    </row>
    <row r="237">
      <c r="A237" s="14" t="n"/>
      <c r="B237" s="14" t="n"/>
      <c r="C237" s="14" t="n"/>
      <c r="D237" s="14" t="n"/>
      <c r="E237" s="15" t="n"/>
      <c r="F237" s="15" t="n"/>
      <c r="G237" s="16" t="n"/>
      <c r="H237" s="16" t="n"/>
      <c r="I237" s="16">
        <f>IF(A237="","",SUMIFS('Movimentações'!$E$5:$E$5000,'Movimentações'!$B$5:$B$5000,A237,'Movimentações'!$D$5:$D$5000,"Entrada"))</f>
        <v/>
      </c>
      <c r="J237" s="16">
        <f>IF(A237="","",SUMIFS('Movimentações'!$E$5:$E$5000,'Movimentações'!$B$5:$B$5000,A237,'Movimentações'!$D$5:$D$5000,"Saída"))</f>
        <v/>
      </c>
      <c r="K237" s="16">
        <f>IF(A237="","",G237+I237-J237)</f>
        <v/>
      </c>
      <c r="L237" s="14">
        <f>IF(A237="","",IF(K237&lt;=0,"SEM ESTOQUE",IF(K237&lt;=H237,"REPOR","OK")))</f>
        <v/>
      </c>
      <c r="M237" s="15">
        <f>IF(A237="","",MAX(K237,0)*E237)</f>
        <v/>
      </c>
      <c r="N237" s="16">
        <f>IF(A237="","",IF(K237&lt;=H237,MAX(2*H237-K237,0),0))</f>
        <v/>
      </c>
      <c r="O237" s="17">
        <f>IF(OR(A237="",F237=0,F237=""),"",(F237-E237)/F237)</f>
        <v/>
      </c>
    </row>
    <row r="238">
      <c r="A238" s="14" t="n"/>
      <c r="B238" s="14" t="n"/>
      <c r="C238" s="14" t="n"/>
      <c r="D238" s="14" t="n"/>
      <c r="E238" s="15" t="n"/>
      <c r="F238" s="15" t="n"/>
      <c r="G238" s="16" t="n"/>
      <c r="H238" s="16" t="n"/>
      <c r="I238" s="16">
        <f>IF(A238="","",SUMIFS('Movimentações'!$E$5:$E$5000,'Movimentações'!$B$5:$B$5000,A238,'Movimentações'!$D$5:$D$5000,"Entrada"))</f>
        <v/>
      </c>
      <c r="J238" s="16">
        <f>IF(A238="","",SUMIFS('Movimentações'!$E$5:$E$5000,'Movimentações'!$B$5:$B$5000,A238,'Movimentações'!$D$5:$D$5000,"Saída"))</f>
        <v/>
      </c>
      <c r="K238" s="16">
        <f>IF(A238="","",G238+I238-J238)</f>
        <v/>
      </c>
      <c r="L238" s="14">
        <f>IF(A238="","",IF(K238&lt;=0,"SEM ESTOQUE",IF(K238&lt;=H238,"REPOR","OK")))</f>
        <v/>
      </c>
      <c r="M238" s="15">
        <f>IF(A238="","",MAX(K238,0)*E238)</f>
        <v/>
      </c>
      <c r="N238" s="16">
        <f>IF(A238="","",IF(K238&lt;=H238,MAX(2*H238-K238,0),0))</f>
        <v/>
      </c>
      <c r="O238" s="17">
        <f>IF(OR(A238="",F238=0,F238=""),"",(F238-E238)/F238)</f>
        <v/>
      </c>
    </row>
    <row r="239">
      <c r="A239" s="14" t="n"/>
      <c r="B239" s="14" t="n"/>
      <c r="C239" s="14" t="n"/>
      <c r="D239" s="14" t="n"/>
      <c r="E239" s="15" t="n"/>
      <c r="F239" s="15" t="n"/>
      <c r="G239" s="16" t="n"/>
      <c r="H239" s="16" t="n"/>
      <c r="I239" s="16">
        <f>IF(A239="","",SUMIFS('Movimentações'!$E$5:$E$5000,'Movimentações'!$B$5:$B$5000,A239,'Movimentações'!$D$5:$D$5000,"Entrada"))</f>
        <v/>
      </c>
      <c r="J239" s="16">
        <f>IF(A239="","",SUMIFS('Movimentações'!$E$5:$E$5000,'Movimentações'!$B$5:$B$5000,A239,'Movimentações'!$D$5:$D$5000,"Saída"))</f>
        <v/>
      </c>
      <c r="K239" s="16">
        <f>IF(A239="","",G239+I239-J239)</f>
        <v/>
      </c>
      <c r="L239" s="14">
        <f>IF(A239="","",IF(K239&lt;=0,"SEM ESTOQUE",IF(K239&lt;=H239,"REPOR","OK")))</f>
        <v/>
      </c>
      <c r="M239" s="15">
        <f>IF(A239="","",MAX(K239,0)*E239)</f>
        <v/>
      </c>
      <c r="N239" s="16">
        <f>IF(A239="","",IF(K239&lt;=H239,MAX(2*H239-K239,0),0))</f>
        <v/>
      </c>
      <c r="O239" s="17">
        <f>IF(OR(A239="",F239=0,F239=""),"",(F239-E239)/F239)</f>
        <v/>
      </c>
    </row>
    <row r="240">
      <c r="A240" s="14" t="n"/>
      <c r="B240" s="14" t="n"/>
      <c r="C240" s="14" t="n"/>
      <c r="D240" s="14" t="n"/>
      <c r="E240" s="15" t="n"/>
      <c r="F240" s="15" t="n"/>
      <c r="G240" s="16" t="n"/>
      <c r="H240" s="16" t="n"/>
      <c r="I240" s="16">
        <f>IF(A240="","",SUMIFS('Movimentações'!$E$5:$E$5000,'Movimentações'!$B$5:$B$5000,A240,'Movimentações'!$D$5:$D$5000,"Entrada"))</f>
        <v/>
      </c>
      <c r="J240" s="16">
        <f>IF(A240="","",SUMIFS('Movimentações'!$E$5:$E$5000,'Movimentações'!$B$5:$B$5000,A240,'Movimentações'!$D$5:$D$5000,"Saída"))</f>
        <v/>
      </c>
      <c r="K240" s="16">
        <f>IF(A240="","",G240+I240-J240)</f>
        <v/>
      </c>
      <c r="L240" s="14">
        <f>IF(A240="","",IF(K240&lt;=0,"SEM ESTOQUE",IF(K240&lt;=H240,"REPOR","OK")))</f>
        <v/>
      </c>
      <c r="M240" s="15">
        <f>IF(A240="","",MAX(K240,0)*E240)</f>
        <v/>
      </c>
      <c r="N240" s="16">
        <f>IF(A240="","",IF(K240&lt;=H240,MAX(2*H240-K240,0),0))</f>
        <v/>
      </c>
      <c r="O240" s="17">
        <f>IF(OR(A240="",F240=0,F240=""),"",(F240-E240)/F240)</f>
        <v/>
      </c>
    </row>
    <row r="241">
      <c r="A241" s="14" t="n"/>
      <c r="B241" s="14" t="n"/>
      <c r="C241" s="14" t="n"/>
      <c r="D241" s="14" t="n"/>
      <c r="E241" s="15" t="n"/>
      <c r="F241" s="15" t="n"/>
      <c r="G241" s="16" t="n"/>
      <c r="H241" s="16" t="n"/>
      <c r="I241" s="16">
        <f>IF(A241="","",SUMIFS('Movimentações'!$E$5:$E$5000,'Movimentações'!$B$5:$B$5000,A241,'Movimentações'!$D$5:$D$5000,"Entrada"))</f>
        <v/>
      </c>
      <c r="J241" s="16">
        <f>IF(A241="","",SUMIFS('Movimentações'!$E$5:$E$5000,'Movimentações'!$B$5:$B$5000,A241,'Movimentações'!$D$5:$D$5000,"Saída"))</f>
        <v/>
      </c>
      <c r="K241" s="16">
        <f>IF(A241="","",G241+I241-J241)</f>
        <v/>
      </c>
      <c r="L241" s="14">
        <f>IF(A241="","",IF(K241&lt;=0,"SEM ESTOQUE",IF(K241&lt;=H241,"REPOR","OK")))</f>
        <v/>
      </c>
      <c r="M241" s="15">
        <f>IF(A241="","",MAX(K241,0)*E241)</f>
        <v/>
      </c>
      <c r="N241" s="16">
        <f>IF(A241="","",IF(K241&lt;=H241,MAX(2*H241-K241,0),0))</f>
        <v/>
      </c>
      <c r="O241" s="17">
        <f>IF(OR(A241="",F241=0,F241=""),"",(F241-E241)/F241)</f>
        <v/>
      </c>
    </row>
    <row r="242">
      <c r="A242" s="14" t="n"/>
      <c r="B242" s="14" t="n"/>
      <c r="C242" s="14" t="n"/>
      <c r="D242" s="14" t="n"/>
      <c r="E242" s="15" t="n"/>
      <c r="F242" s="15" t="n"/>
      <c r="G242" s="16" t="n"/>
      <c r="H242" s="16" t="n"/>
      <c r="I242" s="16">
        <f>IF(A242="","",SUMIFS('Movimentações'!$E$5:$E$5000,'Movimentações'!$B$5:$B$5000,A242,'Movimentações'!$D$5:$D$5000,"Entrada"))</f>
        <v/>
      </c>
      <c r="J242" s="16">
        <f>IF(A242="","",SUMIFS('Movimentações'!$E$5:$E$5000,'Movimentações'!$B$5:$B$5000,A242,'Movimentações'!$D$5:$D$5000,"Saída"))</f>
        <v/>
      </c>
      <c r="K242" s="16">
        <f>IF(A242="","",G242+I242-J242)</f>
        <v/>
      </c>
      <c r="L242" s="14">
        <f>IF(A242="","",IF(K242&lt;=0,"SEM ESTOQUE",IF(K242&lt;=H242,"REPOR","OK")))</f>
        <v/>
      </c>
      <c r="M242" s="15">
        <f>IF(A242="","",MAX(K242,0)*E242)</f>
        <v/>
      </c>
      <c r="N242" s="16">
        <f>IF(A242="","",IF(K242&lt;=H242,MAX(2*H242-K242,0),0))</f>
        <v/>
      </c>
      <c r="O242" s="17">
        <f>IF(OR(A242="",F242=0,F242=""),"",(F242-E242)/F242)</f>
        <v/>
      </c>
    </row>
    <row r="243">
      <c r="A243" s="14" t="n"/>
      <c r="B243" s="14" t="n"/>
      <c r="C243" s="14" t="n"/>
      <c r="D243" s="14" t="n"/>
      <c r="E243" s="15" t="n"/>
      <c r="F243" s="15" t="n"/>
      <c r="G243" s="16" t="n"/>
      <c r="H243" s="16" t="n"/>
      <c r="I243" s="16">
        <f>IF(A243="","",SUMIFS('Movimentações'!$E$5:$E$5000,'Movimentações'!$B$5:$B$5000,A243,'Movimentações'!$D$5:$D$5000,"Entrada"))</f>
        <v/>
      </c>
      <c r="J243" s="16">
        <f>IF(A243="","",SUMIFS('Movimentações'!$E$5:$E$5000,'Movimentações'!$B$5:$B$5000,A243,'Movimentações'!$D$5:$D$5000,"Saída"))</f>
        <v/>
      </c>
      <c r="K243" s="16">
        <f>IF(A243="","",G243+I243-J243)</f>
        <v/>
      </c>
      <c r="L243" s="14">
        <f>IF(A243="","",IF(K243&lt;=0,"SEM ESTOQUE",IF(K243&lt;=H243,"REPOR","OK")))</f>
        <v/>
      </c>
      <c r="M243" s="15">
        <f>IF(A243="","",MAX(K243,0)*E243)</f>
        <v/>
      </c>
      <c r="N243" s="16">
        <f>IF(A243="","",IF(K243&lt;=H243,MAX(2*H243-K243,0),0))</f>
        <v/>
      </c>
      <c r="O243" s="17">
        <f>IF(OR(A243="",F243=0,F243=""),"",(F243-E243)/F243)</f>
        <v/>
      </c>
    </row>
    <row r="244">
      <c r="A244" s="14" t="n"/>
      <c r="B244" s="14" t="n"/>
      <c r="C244" s="14" t="n"/>
      <c r="D244" s="14" t="n"/>
      <c r="E244" s="15" t="n"/>
      <c r="F244" s="15" t="n"/>
      <c r="G244" s="16" t="n"/>
      <c r="H244" s="16" t="n"/>
      <c r="I244" s="16">
        <f>IF(A244="","",SUMIFS('Movimentações'!$E$5:$E$5000,'Movimentações'!$B$5:$B$5000,A244,'Movimentações'!$D$5:$D$5000,"Entrada"))</f>
        <v/>
      </c>
      <c r="J244" s="16">
        <f>IF(A244="","",SUMIFS('Movimentações'!$E$5:$E$5000,'Movimentações'!$B$5:$B$5000,A244,'Movimentações'!$D$5:$D$5000,"Saída"))</f>
        <v/>
      </c>
      <c r="K244" s="16">
        <f>IF(A244="","",G244+I244-J244)</f>
        <v/>
      </c>
      <c r="L244" s="14">
        <f>IF(A244="","",IF(K244&lt;=0,"SEM ESTOQUE",IF(K244&lt;=H244,"REPOR","OK")))</f>
        <v/>
      </c>
      <c r="M244" s="15">
        <f>IF(A244="","",MAX(K244,0)*E244)</f>
        <v/>
      </c>
      <c r="N244" s="16">
        <f>IF(A244="","",IF(K244&lt;=H244,MAX(2*H244-K244,0),0))</f>
        <v/>
      </c>
      <c r="O244" s="17">
        <f>IF(OR(A244="",F244=0,F244=""),"",(F244-E244)/F244)</f>
        <v/>
      </c>
    </row>
    <row r="245">
      <c r="A245" s="14" t="n"/>
      <c r="B245" s="14" t="n"/>
      <c r="C245" s="14" t="n"/>
      <c r="D245" s="14" t="n"/>
      <c r="E245" s="15" t="n"/>
      <c r="F245" s="15" t="n"/>
      <c r="G245" s="16" t="n"/>
      <c r="H245" s="16" t="n"/>
      <c r="I245" s="16">
        <f>IF(A245="","",SUMIFS('Movimentações'!$E$5:$E$5000,'Movimentações'!$B$5:$B$5000,A245,'Movimentações'!$D$5:$D$5000,"Entrada"))</f>
        <v/>
      </c>
      <c r="J245" s="16">
        <f>IF(A245="","",SUMIFS('Movimentações'!$E$5:$E$5000,'Movimentações'!$B$5:$B$5000,A245,'Movimentações'!$D$5:$D$5000,"Saída"))</f>
        <v/>
      </c>
      <c r="K245" s="16">
        <f>IF(A245="","",G245+I245-J245)</f>
        <v/>
      </c>
      <c r="L245" s="14">
        <f>IF(A245="","",IF(K245&lt;=0,"SEM ESTOQUE",IF(K245&lt;=H245,"REPOR","OK")))</f>
        <v/>
      </c>
      <c r="M245" s="15">
        <f>IF(A245="","",MAX(K245,0)*E245)</f>
        <v/>
      </c>
      <c r="N245" s="16">
        <f>IF(A245="","",IF(K245&lt;=H245,MAX(2*H245-K245,0),0))</f>
        <v/>
      </c>
      <c r="O245" s="17">
        <f>IF(OR(A245="",F245=0,F245=""),"",(F245-E245)/F245)</f>
        <v/>
      </c>
    </row>
    <row r="246">
      <c r="A246" s="14" t="n"/>
      <c r="B246" s="14" t="n"/>
      <c r="C246" s="14" t="n"/>
      <c r="D246" s="14" t="n"/>
      <c r="E246" s="15" t="n"/>
      <c r="F246" s="15" t="n"/>
      <c r="G246" s="16" t="n"/>
      <c r="H246" s="16" t="n"/>
      <c r="I246" s="16">
        <f>IF(A246="","",SUMIFS('Movimentações'!$E$5:$E$5000,'Movimentações'!$B$5:$B$5000,A246,'Movimentações'!$D$5:$D$5000,"Entrada"))</f>
        <v/>
      </c>
      <c r="J246" s="16">
        <f>IF(A246="","",SUMIFS('Movimentações'!$E$5:$E$5000,'Movimentações'!$B$5:$B$5000,A246,'Movimentações'!$D$5:$D$5000,"Saída"))</f>
        <v/>
      </c>
      <c r="K246" s="16">
        <f>IF(A246="","",G246+I246-J246)</f>
        <v/>
      </c>
      <c r="L246" s="14">
        <f>IF(A246="","",IF(K246&lt;=0,"SEM ESTOQUE",IF(K246&lt;=H246,"REPOR","OK")))</f>
        <v/>
      </c>
      <c r="M246" s="15">
        <f>IF(A246="","",MAX(K246,0)*E246)</f>
        <v/>
      </c>
      <c r="N246" s="16">
        <f>IF(A246="","",IF(K246&lt;=H246,MAX(2*H246-K246,0),0))</f>
        <v/>
      </c>
      <c r="O246" s="17">
        <f>IF(OR(A246="",F246=0,F246=""),"",(F246-E246)/F246)</f>
        <v/>
      </c>
    </row>
    <row r="247">
      <c r="A247" s="14" t="n"/>
      <c r="B247" s="14" t="n"/>
      <c r="C247" s="14" t="n"/>
      <c r="D247" s="14" t="n"/>
      <c r="E247" s="15" t="n"/>
      <c r="F247" s="15" t="n"/>
      <c r="G247" s="16" t="n"/>
      <c r="H247" s="16" t="n"/>
      <c r="I247" s="16">
        <f>IF(A247="","",SUMIFS('Movimentações'!$E$5:$E$5000,'Movimentações'!$B$5:$B$5000,A247,'Movimentações'!$D$5:$D$5000,"Entrada"))</f>
        <v/>
      </c>
      <c r="J247" s="16">
        <f>IF(A247="","",SUMIFS('Movimentações'!$E$5:$E$5000,'Movimentações'!$B$5:$B$5000,A247,'Movimentações'!$D$5:$D$5000,"Saída"))</f>
        <v/>
      </c>
      <c r="K247" s="16">
        <f>IF(A247="","",G247+I247-J247)</f>
        <v/>
      </c>
      <c r="L247" s="14">
        <f>IF(A247="","",IF(K247&lt;=0,"SEM ESTOQUE",IF(K247&lt;=H247,"REPOR","OK")))</f>
        <v/>
      </c>
      <c r="M247" s="15">
        <f>IF(A247="","",MAX(K247,0)*E247)</f>
        <v/>
      </c>
      <c r="N247" s="16">
        <f>IF(A247="","",IF(K247&lt;=H247,MAX(2*H247-K247,0),0))</f>
        <v/>
      </c>
      <c r="O247" s="17">
        <f>IF(OR(A247="",F247=0,F247=""),"",(F247-E247)/F247)</f>
        <v/>
      </c>
    </row>
    <row r="248">
      <c r="A248" s="14" t="n"/>
      <c r="B248" s="14" t="n"/>
      <c r="C248" s="14" t="n"/>
      <c r="D248" s="14" t="n"/>
      <c r="E248" s="15" t="n"/>
      <c r="F248" s="15" t="n"/>
      <c r="G248" s="16" t="n"/>
      <c r="H248" s="16" t="n"/>
      <c r="I248" s="16">
        <f>IF(A248="","",SUMIFS('Movimentações'!$E$5:$E$5000,'Movimentações'!$B$5:$B$5000,A248,'Movimentações'!$D$5:$D$5000,"Entrada"))</f>
        <v/>
      </c>
      <c r="J248" s="16">
        <f>IF(A248="","",SUMIFS('Movimentações'!$E$5:$E$5000,'Movimentações'!$B$5:$B$5000,A248,'Movimentações'!$D$5:$D$5000,"Saída"))</f>
        <v/>
      </c>
      <c r="K248" s="16">
        <f>IF(A248="","",G248+I248-J248)</f>
        <v/>
      </c>
      <c r="L248" s="14">
        <f>IF(A248="","",IF(K248&lt;=0,"SEM ESTOQUE",IF(K248&lt;=H248,"REPOR","OK")))</f>
        <v/>
      </c>
      <c r="M248" s="15">
        <f>IF(A248="","",MAX(K248,0)*E248)</f>
        <v/>
      </c>
      <c r="N248" s="16">
        <f>IF(A248="","",IF(K248&lt;=H248,MAX(2*H248-K248,0),0))</f>
        <v/>
      </c>
      <c r="O248" s="17">
        <f>IF(OR(A248="",F248=0,F248=""),"",(F248-E248)/F248)</f>
        <v/>
      </c>
    </row>
    <row r="249">
      <c r="A249" s="14" t="n"/>
      <c r="B249" s="14" t="n"/>
      <c r="C249" s="14" t="n"/>
      <c r="D249" s="14" t="n"/>
      <c r="E249" s="15" t="n"/>
      <c r="F249" s="15" t="n"/>
      <c r="G249" s="16" t="n"/>
      <c r="H249" s="16" t="n"/>
      <c r="I249" s="16">
        <f>IF(A249="","",SUMIFS('Movimentações'!$E$5:$E$5000,'Movimentações'!$B$5:$B$5000,A249,'Movimentações'!$D$5:$D$5000,"Entrada"))</f>
        <v/>
      </c>
      <c r="J249" s="16">
        <f>IF(A249="","",SUMIFS('Movimentações'!$E$5:$E$5000,'Movimentações'!$B$5:$B$5000,A249,'Movimentações'!$D$5:$D$5000,"Saída"))</f>
        <v/>
      </c>
      <c r="K249" s="16">
        <f>IF(A249="","",G249+I249-J249)</f>
        <v/>
      </c>
      <c r="L249" s="14">
        <f>IF(A249="","",IF(K249&lt;=0,"SEM ESTOQUE",IF(K249&lt;=H249,"REPOR","OK")))</f>
        <v/>
      </c>
      <c r="M249" s="15">
        <f>IF(A249="","",MAX(K249,0)*E249)</f>
        <v/>
      </c>
      <c r="N249" s="16">
        <f>IF(A249="","",IF(K249&lt;=H249,MAX(2*H249-K249,0),0))</f>
        <v/>
      </c>
      <c r="O249" s="17">
        <f>IF(OR(A249="",F249=0,F249=""),"",(F249-E249)/F249)</f>
        <v/>
      </c>
    </row>
    <row r="250">
      <c r="A250" s="14" t="n"/>
      <c r="B250" s="14" t="n"/>
      <c r="C250" s="14" t="n"/>
      <c r="D250" s="14" t="n"/>
      <c r="E250" s="15" t="n"/>
      <c r="F250" s="15" t="n"/>
      <c r="G250" s="16" t="n"/>
      <c r="H250" s="16" t="n"/>
      <c r="I250" s="16">
        <f>IF(A250="","",SUMIFS('Movimentações'!$E$5:$E$5000,'Movimentações'!$B$5:$B$5000,A250,'Movimentações'!$D$5:$D$5000,"Entrada"))</f>
        <v/>
      </c>
      <c r="J250" s="16">
        <f>IF(A250="","",SUMIFS('Movimentações'!$E$5:$E$5000,'Movimentações'!$B$5:$B$5000,A250,'Movimentações'!$D$5:$D$5000,"Saída"))</f>
        <v/>
      </c>
      <c r="K250" s="16">
        <f>IF(A250="","",G250+I250-J250)</f>
        <v/>
      </c>
      <c r="L250" s="14">
        <f>IF(A250="","",IF(K250&lt;=0,"SEM ESTOQUE",IF(K250&lt;=H250,"REPOR","OK")))</f>
        <v/>
      </c>
      <c r="M250" s="15">
        <f>IF(A250="","",MAX(K250,0)*E250)</f>
        <v/>
      </c>
      <c r="N250" s="16">
        <f>IF(A250="","",IF(K250&lt;=H250,MAX(2*H250-K250,0),0))</f>
        <v/>
      </c>
      <c r="O250" s="17">
        <f>IF(OR(A250="",F250=0,F250=""),"",(F250-E250)/F250)</f>
        <v/>
      </c>
    </row>
    <row r="251">
      <c r="A251" s="14" t="n"/>
      <c r="B251" s="14" t="n"/>
      <c r="C251" s="14" t="n"/>
      <c r="D251" s="14" t="n"/>
      <c r="E251" s="15" t="n"/>
      <c r="F251" s="15" t="n"/>
      <c r="G251" s="16" t="n"/>
      <c r="H251" s="16" t="n"/>
      <c r="I251" s="16">
        <f>IF(A251="","",SUMIFS('Movimentações'!$E$5:$E$5000,'Movimentações'!$B$5:$B$5000,A251,'Movimentações'!$D$5:$D$5000,"Entrada"))</f>
        <v/>
      </c>
      <c r="J251" s="16">
        <f>IF(A251="","",SUMIFS('Movimentações'!$E$5:$E$5000,'Movimentações'!$B$5:$B$5000,A251,'Movimentações'!$D$5:$D$5000,"Saída"))</f>
        <v/>
      </c>
      <c r="K251" s="16">
        <f>IF(A251="","",G251+I251-J251)</f>
        <v/>
      </c>
      <c r="L251" s="14">
        <f>IF(A251="","",IF(K251&lt;=0,"SEM ESTOQUE",IF(K251&lt;=H251,"REPOR","OK")))</f>
        <v/>
      </c>
      <c r="M251" s="15">
        <f>IF(A251="","",MAX(K251,0)*E251)</f>
        <v/>
      </c>
      <c r="N251" s="16">
        <f>IF(A251="","",IF(K251&lt;=H251,MAX(2*H251-K251,0),0))</f>
        <v/>
      </c>
      <c r="O251" s="17">
        <f>IF(OR(A251="",F251=0,F251=""),"",(F251-E251)/F251)</f>
        <v/>
      </c>
    </row>
    <row r="252">
      <c r="A252" s="14" t="n"/>
      <c r="B252" s="14" t="n"/>
      <c r="C252" s="14" t="n"/>
      <c r="D252" s="14" t="n"/>
      <c r="E252" s="15" t="n"/>
      <c r="F252" s="15" t="n"/>
      <c r="G252" s="16" t="n"/>
      <c r="H252" s="16" t="n"/>
      <c r="I252" s="16">
        <f>IF(A252="","",SUMIFS('Movimentações'!$E$5:$E$5000,'Movimentações'!$B$5:$B$5000,A252,'Movimentações'!$D$5:$D$5000,"Entrada"))</f>
        <v/>
      </c>
      <c r="J252" s="16">
        <f>IF(A252="","",SUMIFS('Movimentações'!$E$5:$E$5000,'Movimentações'!$B$5:$B$5000,A252,'Movimentações'!$D$5:$D$5000,"Saída"))</f>
        <v/>
      </c>
      <c r="K252" s="16">
        <f>IF(A252="","",G252+I252-J252)</f>
        <v/>
      </c>
      <c r="L252" s="14">
        <f>IF(A252="","",IF(K252&lt;=0,"SEM ESTOQUE",IF(K252&lt;=H252,"REPOR","OK")))</f>
        <v/>
      </c>
      <c r="M252" s="15">
        <f>IF(A252="","",MAX(K252,0)*E252)</f>
        <v/>
      </c>
      <c r="N252" s="16">
        <f>IF(A252="","",IF(K252&lt;=H252,MAX(2*H252-K252,0),0))</f>
        <v/>
      </c>
      <c r="O252" s="17">
        <f>IF(OR(A252="",F252=0,F252=""),"",(F252-E252)/F252)</f>
        <v/>
      </c>
    </row>
    <row r="253">
      <c r="A253" s="14" t="n"/>
      <c r="B253" s="14" t="n"/>
      <c r="C253" s="14" t="n"/>
      <c r="D253" s="14" t="n"/>
      <c r="E253" s="15" t="n"/>
      <c r="F253" s="15" t="n"/>
      <c r="G253" s="16" t="n"/>
      <c r="H253" s="16" t="n"/>
      <c r="I253" s="16">
        <f>IF(A253="","",SUMIFS('Movimentações'!$E$5:$E$5000,'Movimentações'!$B$5:$B$5000,A253,'Movimentações'!$D$5:$D$5000,"Entrada"))</f>
        <v/>
      </c>
      <c r="J253" s="16">
        <f>IF(A253="","",SUMIFS('Movimentações'!$E$5:$E$5000,'Movimentações'!$B$5:$B$5000,A253,'Movimentações'!$D$5:$D$5000,"Saída"))</f>
        <v/>
      </c>
      <c r="K253" s="16">
        <f>IF(A253="","",G253+I253-J253)</f>
        <v/>
      </c>
      <c r="L253" s="14">
        <f>IF(A253="","",IF(K253&lt;=0,"SEM ESTOQUE",IF(K253&lt;=H253,"REPOR","OK")))</f>
        <v/>
      </c>
      <c r="M253" s="15">
        <f>IF(A253="","",MAX(K253,0)*E253)</f>
        <v/>
      </c>
      <c r="N253" s="16">
        <f>IF(A253="","",IF(K253&lt;=H253,MAX(2*H253-K253,0),0))</f>
        <v/>
      </c>
      <c r="O253" s="17">
        <f>IF(OR(A253="",F253=0,F253=""),"",(F253-E253)/F253)</f>
        <v/>
      </c>
    </row>
    <row r="254">
      <c r="A254" s="14" t="n"/>
      <c r="B254" s="14" t="n"/>
      <c r="C254" s="14" t="n"/>
      <c r="D254" s="14" t="n"/>
      <c r="E254" s="15" t="n"/>
      <c r="F254" s="15" t="n"/>
      <c r="G254" s="16" t="n"/>
      <c r="H254" s="16" t="n"/>
      <c r="I254" s="16">
        <f>IF(A254="","",SUMIFS('Movimentações'!$E$5:$E$5000,'Movimentações'!$B$5:$B$5000,A254,'Movimentações'!$D$5:$D$5000,"Entrada"))</f>
        <v/>
      </c>
      <c r="J254" s="16">
        <f>IF(A254="","",SUMIFS('Movimentações'!$E$5:$E$5000,'Movimentações'!$B$5:$B$5000,A254,'Movimentações'!$D$5:$D$5000,"Saída"))</f>
        <v/>
      </c>
      <c r="K254" s="16">
        <f>IF(A254="","",G254+I254-J254)</f>
        <v/>
      </c>
      <c r="L254" s="14">
        <f>IF(A254="","",IF(K254&lt;=0,"SEM ESTOQUE",IF(K254&lt;=H254,"REPOR","OK")))</f>
        <v/>
      </c>
      <c r="M254" s="15">
        <f>IF(A254="","",MAX(K254,0)*E254)</f>
        <v/>
      </c>
      <c r="N254" s="16">
        <f>IF(A254="","",IF(K254&lt;=H254,MAX(2*H254-K254,0),0))</f>
        <v/>
      </c>
      <c r="O254" s="17">
        <f>IF(OR(A254="",F254=0,F254=""),"",(F254-E254)/F254)</f>
        <v/>
      </c>
    </row>
    <row r="255">
      <c r="A255" s="14" t="n"/>
      <c r="B255" s="14" t="n"/>
      <c r="C255" s="14" t="n"/>
      <c r="D255" s="14" t="n"/>
      <c r="E255" s="15" t="n"/>
      <c r="F255" s="15" t="n"/>
      <c r="G255" s="16" t="n"/>
      <c r="H255" s="16" t="n"/>
      <c r="I255" s="16">
        <f>IF(A255="","",SUMIFS('Movimentações'!$E$5:$E$5000,'Movimentações'!$B$5:$B$5000,A255,'Movimentações'!$D$5:$D$5000,"Entrada"))</f>
        <v/>
      </c>
      <c r="J255" s="16">
        <f>IF(A255="","",SUMIFS('Movimentações'!$E$5:$E$5000,'Movimentações'!$B$5:$B$5000,A255,'Movimentações'!$D$5:$D$5000,"Saída"))</f>
        <v/>
      </c>
      <c r="K255" s="16">
        <f>IF(A255="","",G255+I255-J255)</f>
        <v/>
      </c>
      <c r="L255" s="14">
        <f>IF(A255="","",IF(K255&lt;=0,"SEM ESTOQUE",IF(K255&lt;=H255,"REPOR","OK")))</f>
        <v/>
      </c>
      <c r="M255" s="15">
        <f>IF(A255="","",MAX(K255,0)*E255)</f>
        <v/>
      </c>
      <c r="N255" s="16">
        <f>IF(A255="","",IF(K255&lt;=H255,MAX(2*H255-K255,0),0))</f>
        <v/>
      </c>
      <c r="O255" s="17">
        <f>IF(OR(A255="",F255=0,F255=""),"",(F255-E255)/F255)</f>
        <v/>
      </c>
    </row>
    <row r="256">
      <c r="A256" s="14" t="n"/>
      <c r="B256" s="14" t="n"/>
      <c r="C256" s="14" t="n"/>
      <c r="D256" s="14" t="n"/>
      <c r="E256" s="15" t="n"/>
      <c r="F256" s="15" t="n"/>
      <c r="G256" s="16" t="n"/>
      <c r="H256" s="16" t="n"/>
      <c r="I256" s="16">
        <f>IF(A256="","",SUMIFS('Movimentações'!$E$5:$E$5000,'Movimentações'!$B$5:$B$5000,A256,'Movimentações'!$D$5:$D$5000,"Entrada"))</f>
        <v/>
      </c>
      <c r="J256" s="16">
        <f>IF(A256="","",SUMIFS('Movimentações'!$E$5:$E$5000,'Movimentações'!$B$5:$B$5000,A256,'Movimentações'!$D$5:$D$5000,"Saída"))</f>
        <v/>
      </c>
      <c r="K256" s="16">
        <f>IF(A256="","",G256+I256-J256)</f>
        <v/>
      </c>
      <c r="L256" s="14">
        <f>IF(A256="","",IF(K256&lt;=0,"SEM ESTOQUE",IF(K256&lt;=H256,"REPOR","OK")))</f>
        <v/>
      </c>
      <c r="M256" s="15">
        <f>IF(A256="","",MAX(K256,0)*E256)</f>
        <v/>
      </c>
      <c r="N256" s="16">
        <f>IF(A256="","",IF(K256&lt;=H256,MAX(2*H256-K256,0),0))</f>
        <v/>
      </c>
      <c r="O256" s="17">
        <f>IF(OR(A256="",F256=0,F256=""),"",(F256-E256)/F256)</f>
        <v/>
      </c>
    </row>
    <row r="257">
      <c r="A257" s="14" t="n"/>
      <c r="B257" s="14" t="n"/>
      <c r="C257" s="14" t="n"/>
      <c r="D257" s="14" t="n"/>
      <c r="E257" s="15" t="n"/>
      <c r="F257" s="15" t="n"/>
      <c r="G257" s="16" t="n"/>
      <c r="H257" s="16" t="n"/>
      <c r="I257" s="16">
        <f>IF(A257="","",SUMIFS('Movimentações'!$E$5:$E$5000,'Movimentações'!$B$5:$B$5000,A257,'Movimentações'!$D$5:$D$5000,"Entrada"))</f>
        <v/>
      </c>
      <c r="J257" s="16">
        <f>IF(A257="","",SUMIFS('Movimentações'!$E$5:$E$5000,'Movimentações'!$B$5:$B$5000,A257,'Movimentações'!$D$5:$D$5000,"Saída"))</f>
        <v/>
      </c>
      <c r="K257" s="16">
        <f>IF(A257="","",G257+I257-J257)</f>
        <v/>
      </c>
      <c r="L257" s="14">
        <f>IF(A257="","",IF(K257&lt;=0,"SEM ESTOQUE",IF(K257&lt;=H257,"REPOR","OK")))</f>
        <v/>
      </c>
      <c r="M257" s="15">
        <f>IF(A257="","",MAX(K257,0)*E257)</f>
        <v/>
      </c>
      <c r="N257" s="16">
        <f>IF(A257="","",IF(K257&lt;=H257,MAX(2*H257-K257,0),0))</f>
        <v/>
      </c>
      <c r="O257" s="17">
        <f>IF(OR(A257="",F257=0,F257=""),"",(F257-E257)/F257)</f>
        <v/>
      </c>
    </row>
    <row r="258">
      <c r="A258" s="14" t="n"/>
      <c r="B258" s="14" t="n"/>
      <c r="C258" s="14" t="n"/>
      <c r="D258" s="14" t="n"/>
      <c r="E258" s="15" t="n"/>
      <c r="F258" s="15" t="n"/>
      <c r="G258" s="16" t="n"/>
      <c r="H258" s="16" t="n"/>
      <c r="I258" s="16">
        <f>IF(A258="","",SUMIFS('Movimentações'!$E$5:$E$5000,'Movimentações'!$B$5:$B$5000,A258,'Movimentações'!$D$5:$D$5000,"Entrada"))</f>
        <v/>
      </c>
      <c r="J258" s="16">
        <f>IF(A258="","",SUMIFS('Movimentações'!$E$5:$E$5000,'Movimentações'!$B$5:$B$5000,A258,'Movimentações'!$D$5:$D$5000,"Saída"))</f>
        <v/>
      </c>
      <c r="K258" s="16">
        <f>IF(A258="","",G258+I258-J258)</f>
        <v/>
      </c>
      <c r="L258" s="14">
        <f>IF(A258="","",IF(K258&lt;=0,"SEM ESTOQUE",IF(K258&lt;=H258,"REPOR","OK")))</f>
        <v/>
      </c>
      <c r="M258" s="15">
        <f>IF(A258="","",MAX(K258,0)*E258)</f>
        <v/>
      </c>
      <c r="N258" s="16">
        <f>IF(A258="","",IF(K258&lt;=H258,MAX(2*H258-K258,0),0))</f>
        <v/>
      </c>
      <c r="O258" s="17">
        <f>IF(OR(A258="",F258=0,F258=""),"",(F258-E258)/F258)</f>
        <v/>
      </c>
    </row>
    <row r="259">
      <c r="A259" s="14" t="n"/>
      <c r="B259" s="14" t="n"/>
      <c r="C259" s="14" t="n"/>
      <c r="D259" s="14" t="n"/>
      <c r="E259" s="15" t="n"/>
      <c r="F259" s="15" t="n"/>
      <c r="G259" s="16" t="n"/>
      <c r="H259" s="16" t="n"/>
      <c r="I259" s="16">
        <f>IF(A259="","",SUMIFS('Movimentações'!$E$5:$E$5000,'Movimentações'!$B$5:$B$5000,A259,'Movimentações'!$D$5:$D$5000,"Entrada"))</f>
        <v/>
      </c>
      <c r="J259" s="16">
        <f>IF(A259="","",SUMIFS('Movimentações'!$E$5:$E$5000,'Movimentações'!$B$5:$B$5000,A259,'Movimentações'!$D$5:$D$5000,"Saída"))</f>
        <v/>
      </c>
      <c r="K259" s="16">
        <f>IF(A259="","",G259+I259-J259)</f>
        <v/>
      </c>
      <c r="L259" s="14">
        <f>IF(A259="","",IF(K259&lt;=0,"SEM ESTOQUE",IF(K259&lt;=H259,"REPOR","OK")))</f>
        <v/>
      </c>
      <c r="M259" s="15">
        <f>IF(A259="","",MAX(K259,0)*E259)</f>
        <v/>
      </c>
      <c r="N259" s="16">
        <f>IF(A259="","",IF(K259&lt;=H259,MAX(2*H259-K259,0),0))</f>
        <v/>
      </c>
      <c r="O259" s="17">
        <f>IF(OR(A259="",F259=0,F259=""),"",(F259-E259)/F259)</f>
        <v/>
      </c>
    </row>
    <row r="260">
      <c r="A260" s="14" t="n"/>
      <c r="B260" s="14" t="n"/>
      <c r="C260" s="14" t="n"/>
      <c r="D260" s="14" t="n"/>
      <c r="E260" s="15" t="n"/>
      <c r="F260" s="15" t="n"/>
      <c r="G260" s="16" t="n"/>
      <c r="H260" s="16" t="n"/>
      <c r="I260" s="16">
        <f>IF(A260="","",SUMIFS('Movimentações'!$E$5:$E$5000,'Movimentações'!$B$5:$B$5000,A260,'Movimentações'!$D$5:$D$5000,"Entrada"))</f>
        <v/>
      </c>
      <c r="J260" s="16">
        <f>IF(A260="","",SUMIFS('Movimentações'!$E$5:$E$5000,'Movimentações'!$B$5:$B$5000,A260,'Movimentações'!$D$5:$D$5000,"Saída"))</f>
        <v/>
      </c>
      <c r="K260" s="16">
        <f>IF(A260="","",G260+I260-J260)</f>
        <v/>
      </c>
      <c r="L260" s="14">
        <f>IF(A260="","",IF(K260&lt;=0,"SEM ESTOQUE",IF(K260&lt;=H260,"REPOR","OK")))</f>
        <v/>
      </c>
      <c r="M260" s="15">
        <f>IF(A260="","",MAX(K260,0)*E260)</f>
        <v/>
      </c>
      <c r="N260" s="16">
        <f>IF(A260="","",IF(K260&lt;=H260,MAX(2*H260-K260,0),0))</f>
        <v/>
      </c>
      <c r="O260" s="17">
        <f>IF(OR(A260="",F260=0,F260=""),"",(F260-E260)/F260)</f>
        <v/>
      </c>
    </row>
    <row r="261">
      <c r="A261" s="14" t="n"/>
      <c r="B261" s="14" t="n"/>
      <c r="C261" s="14" t="n"/>
      <c r="D261" s="14" t="n"/>
      <c r="E261" s="15" t="n"/>
      <c r="F261" s="15" t="n"/>
      <c r="G261" s="16" t="n"/>
      <c r="H261" s="16" t="n"/>
      <c r="I261" s="16">
        <f>IF(A261="","",SUMIFS('Movimentações'!$E$5:$E$5000,'Movimentações'!$B$5:$B$5000,A261,'Movimentações'!$D$5:$D$5000,"Entrada"))</f>
        <v/>
      </c>
      <c r="J261" s="16">
        <f>IF(A261="","",SUMIFS('Movimentações'!$E$5:$E$5000,'Movimentações'!$B$5:$B$5000,A261,'Movimentações'!$D$5:$D$5000,"Saída"))</f>
        <v/>
      </c>
      <c r="K261" s="16">
        <f>IF(A261="","",G261+I261-J261)</f>
        <v/>
      </c>
      <c r="L261" s="14">
        <f>IF(A261="","",IF(K261&lt;=0,"SEM ESTOQUE",IF(K261&lt;=H261,"REPOR","OK")))</f>
        <v/>
      </c>
      <c r="M261" s="15">
        <f>IF(A261="","",MAX(K261,0)*E261)</f>
        <v/>
      </c>
      <c r="N261" s="16">
        <f>IF(A261="","",IF(K261&lt;=H261,MAX(2*H261-K261,0),0))</f>
        <v/>
      </c>
      <c r="O261" s="17">
        <f>IF(OR(A261="",F261=0,F261=""),"",(F261-E261)/F261)</f>
        <v/>
      </c>
    </row>
    <row r="262">
      <c r="A262" s="14" t="n"/>
      <c r="B262" s="14" t="n"/>
      <c r="C262" s="14" t="n"/>
      <c r="D262" s="14" t="n"/>
      <c r="E262" s="15" t="n"/>
      <c r="F262" s="15" t="n"/>
      <c r="G262" s="16" t="n"/>
      <c r="H262" s="16" t="n"/>
      <c r="I262" s="16">
        <f>IF(A262="","",SUMIFS('Movimentações'!$E$5:$E$5000,'Movimentações'!$B$5:$B$5000,A262,'Movimentações'!$D$5:$D$5000,"Entrada"))</f>
        <v/>
      </c>
      <c r="J262" s="16">
        <f>IF(A262="","",SUMIFS('Movimentações'!$E$5:$E$5000,'Movimentações'!$B$5:$B$5000,A262,'Movimentações'!$D$5:$D$5000,"Saída"))</f>
        <v/>
      </c>
      <c r="K262" s="16">
        <f>IF(A262="","",G262+I262-J262)</f>
        <v/>
      </c>
      <c r="L262" s="14">
        <f>IF(A262="","",IF(K262&lt;=0,"SEM ESTOQUE",IF(K262&lt;=H262,"REPOR","OK")))</f>
        <v/>
      </c>
      <c r="M262" s="15">
        <f>IF(A262="","",MAX(K262,0)*E262)</f>
        <v/>
      </c>
      <c r="N262" s="16">
        <f>IF(A262="","",IF(K262&lt;=H262,MAX(2*H262-K262,0),0))</f>
        <v/>
      </c>
      <c r="O262" s="17">
        <f>IF(OR(A262="",F262=0,F262=""),"",(F262-E262)/F262)</f>
        <v/>
      </c>
    </row>
    <row r="263">
      <c r="A263" s="14" t="n"/>
      <c r="B263" s="14" t="n"/>
      <c r="C263" s="14" t="n"/>
      <c r="D263" s="14" t="n"/>
      <c r="E263" s="15" t="n"/>
      <c r="F263" s="15" t="n"/>
      <c r="G263" s="16" t="n"/>
      <c r="H263" s="16" t="n"/>
      <c r="I263" s="16">
        <f>IF(A263="","",SUMIFS('Movimentações'!$E$5:$E$5000,'Movimentações'!$B$5:$B$5000,A263,'Movimentações'!$D$5:$D$5000,"Entrada"))</f>
        <v/>
      </c>
      <c r="J263" s="16">
        <f>IF(A263="","",SUMIFS('Movimentações'!$E$5:$E$5000,'Movimentações'!$B$5:$B$5000,A263,'Movimentações'!$D$5:$D$5000,"Saída"))</f>
        <v/>
      </c>
      <c r="K263" s="16">
        <f>IF(A263="","",G263+I263-J263)</f>
        <v/>
      </c>
      <c r="L263" s="14">
        <f>IF(A263="","",IF(K263&lt;=0,"SEM ESTOQUE",IF(K263&lt;=H263,"REPOR","OK")))</f>
        <v/>
      </c>
      <c r="M263" s="15">
        <f>IF(A263="","",MAX(K263,0)*E263)</f>
        <v/>
      </c>
      <c r="N263" s="16">
        <f>IF(A263="","",IF(K263&lt;=H263,MAX(2*H263-K263,0),0))</f>
        <v/>
      </c>
      <c r="O263" s="17">
        <f>IF(OR(A263="",F263=0,F263=""),"",(F263-E263)/F263)</f>
        <v/>
      </c>
    </row>
    <row r="264">
      <c r="A264" s="14" t="n"/>
      <c r="B264" s="14" t="n"/>
      <c r="C264" s="14" t="n"/>
      <c r="D264" s="14" t="n"/>
      <c r="E264" s="15" t="n"/>
      <c r="F264" s="15" t="n"/>
      <c r="G264" s="16" t="n"/>
      <c r="H264" s="16" t="n"/>
      <c r="I264" s="16">
        <f>IF(A264="","",SUMIFS('Movimentações'!$E$5:$E$5000,'Movimentações'!$B$5:$B$5000,A264,'Movimentações'!$D$5:$D$5000,"Entrada"))</f>
        <v/>
      </c>
      <c r="J264" s="16">
        <f>IF(A264="","",SUMIFS('Movimentações'!$E$5:$E$5000,'Movimentações'!$B$5:$B$5000,A264,'Movimentações'!$D$5:$D$5000,"Saída"))</f>
        <v/>
      </c>
      <c r="K264" s="16">
        <f>IF(A264="","",G264+I264-J264)</f>
        <v/>
      </c>
      <c r="L264" s="14">
        <f>IF(A264="","",IF(K264&lt;=0,"SEM ESTOQUE",IF(K264&lt;=H264,"REPOR","OK")))</f>
        <v/>
      </c>
      <c r="M264" s="15">
        <f>IF(A264="","",MAX(K264,0)*E264)</f>
        <v/>
      </c>
      <c r="N264" s="16">
        <f>IF(A264="","",IF(K264&lt;=H264,MAX(2*H264-K264,0),0))</f>
        <v/>
      </c>
      <c r="O264" s="17">
        <f>IF(OR(A264="",F264=0,F264=""),"",(F264-E264)/F264)</f>
        <v/>
      </c>
    </row>
    <row r="265">
      <c r="A265" s="14" t="n"/>
      <c r="B265" s="14" t="n"/>
      <c r="C265" s="14" t="n"/>
      <c r="D265" s="14" t="n"/>
      <c r="E265" s="15" t="n"/>
      <c r="F265" s="15" t="n"/>
      <c r="G265" s="16" t="n"/>
      <c r="H265" s="16" t="n"/>
      <c r="I265" s="16">
        <f>IF(A265="","",SUMIFS('Movimentações'!$E$5:$E$5000,'Movimentações'!$B$5:$B$5000,A265,'Movimentações'!$D$5:$D$5000,"Entrada"))</f>
        <v/>
      </c>
      <c r="J265" s="16">
        <f>IF(A265="","",SUMIFS('Movimentações'!$E$5:$E$5000,'Movimentações'!$B$5:$B$5000,A265,'Movimentações'!$D$5:$D$5000,"Saída"))</f>
        <v/>
      </c>
      <c r="K265" s="16">
        <f>IF(A265="","",G265+I265-J265)</f>
        <v/>
      </c>
      <c r="L265" s="14">
        <f>IF(A265="","",IF(K265&lt;=0,"SEM ESTOQUE",IF(K265&lt;=H265,"REPOR","OK")))</f>
        <v/>
      </c>
      <c r="M265" s="15">
        <f>IF(A265="","",MAX(K265,0)*E265)</f>
        <v/>
      </c>
      <c r="N265" s="16">
        <f>IF(A265="","",IF(K265&lt;=H265,MAX(2*H265-K265,0),0))</f>
        <v/>
      </c>
      <c r="O265" s="17">
        <f>IF(OR(A265="",F265=0,F265=""),"",(F265-E265)/F265)</f>
        <v/>
      </c>
    </row>
    <row r="266">
      <c r="A266" s="14" t="n"/>
      <c r="B266" s="14" t="n"/>
      <c r="C266" s="14" t="n"/>
      <c r="D266" s="14" t="n"/>
      <c r="E266" s="15" t="n"/>
      <c r="F266" s="15" t="n"/>
      <c r="G266" s="16" t="n"/>
      <c r="H266" s="16" t="n"/>
      <c r="I266" s="16">
        <f>IF(A266="","",SUMIFS('Movimentações'!$E$5:$E$5000,'Movimentações'!$B$5:$B$5000,A266,'Movimentações'!$D$5:$D$5000,"Entrada"))</f>
        <v/>
      </c>
      <c r="J266" s="16">
        <f>IF(A266="","",SUMIFS('Movimentações'!$E$5:$E$5000,'Movimentações'!$B$5:$B$5000,A266,'Movimentações'!$D$5:$D$5000,"Saída"))</f>
        <v/>
      </c>
      <c r="K266" s="16">
        <f>IF(A266="","",G266+I266-J266)</f>
        <v/>
      </c>
      <c r="L266" s="14">
        <f>IF(A266="","",IF(K266&lt;=0,"SEM ESTOQUE",IF(K266&lt;=H266,"REPOR","OK")))</f>
        <v/>
      </c>
      <c r="M266" s="15">
        <f>IF(A266="","",MAX(K266,0)*E266)</f>
        <v/>
      </c>
      <c r="N266" s="16">
        <f>IF(A266="","",IF(K266&lt;=H266,MAX(2*H266-K266,0),0))</f>
        <v/>
      </c>
      <c r="O266" s="17">
        <f>IF(OR(A266="",F266=0,F266=""),"",(F266-E266)/F266)</f>
        <v/>
      </c>
    </row>
    <row r="267">
      <c r="A267" s="14" t="n"/>
      <c r="B267" s="14" t="n"/>
      <c r="C267" s="14" t="n"/>
      <c r="D267" s="14" t="n"/>
      <c r="E267" s="15" t="n"/>
      <c r="F267" s="15" t="n"/>
      <c r="G267" s="16" t="n"/>
      <c r="H267" s="16" t="n"/>
      <c r="I267" s="16">
        <f>IF(A267="","",SUMIFS('Movimentações'!$E$5:$E$5000,'Movimentações'!$B$5:$B$5000,A267,'Movimentações'!$D$5:$D$5000,"Entrada"))</f>
        <v/>
      </c>
      <c r="J267" s="16">
        <f>IF(A267="","",SUMIFS('Movimentações'!$E$5:$E$5000,'Movimentações'!$B$5:$B$5000,A267,'Movimentações'!$D$5:$D$5000,"Saída"))</f>
        <v/>
      </c>
      <c r="K267" s="16">
        <f>IF(A267="","",G267+I267-J267)</f>
        <v/>
      </c>
      <c r="L267" s="14">
        <f>IF(A267="","",IF(K267&lt;=0,"SEM ESTOQUE",IF(K267&lt;=H267,"REPOR","OK")))</f>
        <v/>
      </c>
      <c r="M267" s="15">
        <f>IF(A267="","",MAX(K267,0)*E267)</f>
        <v/>
      </c>
      <c r="N267" s="16">
        <f>IF(A267="","",IF(K267&lt;=H267,MAX(2*H267-K267,0),0))</f>
        <v/>
      </c>
      <c r="O267" s="17">
        <f>IF(OR(A267="",F267=0,F267=""),"",(F267-E267)/F267)</f>
        <v/>
      </c>
    </row>
    <row r="268">
      <c r="A268" s="14" t="n"/>
      <c r="B268" s="14" t="n"/>
      <c r="C268" s="14" t="n"/>
      <c r="D268" s="14" t="n"/>
      <c r="E268" s="15" t="n"/>
      <c r="F268" s="15" t="n"/>
      <c r="G268" s="16" t="n"/>
      <c r="H268" s="16" t="n"/>
      <c r="I268" s="16">
        <f>IF(A268="","",SUMIFS('Movimentações'!$E$5:$E$5000,'Movimentações'!$B$5:$B$5000,A268,'Movimentações'!$D$5:$D$5000,"Entrada"))</f>
        <v/>
      </c>
      <c r="J268" s="16">
        <f>IF(A268="","",SUMIFS('Movimentações'!$E$5:$E$5000,'Movimentações'!$B$5:$B$5000,A268,'Movimentações'!$D$5:$D$5000,"Saída"))</f>
        <v/>
      </c>
      <c r="K268" s="16">
        <f>IF(A268="","",G268+I268-J268)</f>
        <v/>
      </c>
      <c r="L268" s="14">
        <f>IF(A268="","",IF(K268&lt;=0,"SEM ESTOQUE",IF(K268&lt;=H268,"REPOR","OK")))</f>
        <v/>
      </c>
      <c r="M268" s="15">
        <f>IF(A268="","",MAX(K268,0)*E268)</f>
        <v/>
      </c>
      <c r="N268" s="16">
        <f>IF(A268="","",IF(K268&lt;=H268,MAX(2*H268-K268,0),0))</f>
        <v/>
      </c>
      <c r="O268" s="17">
        <f>IF(OR(A268="",F268=0,F268=""),"",(F268-E268)/F268)</f>
        <v/>
      </c>
    </row>
    <row r="269">
      <c r="A269" s="14" t="n"/>
      <c r="B269" s="14" t="n"/>
      <c r="C269" s="14" t="n"/>
      <c r="D269" s="14" t="n"/>
      <c r="E269" s="15" t="n"/>
      <c r="F269" s="15" t="n"/>
      <c r="G269" s="16" t="n"/>
      <c r="H269" s="16" t="n"/>
      <c r="I269" s="16">
        <f>IF(A269="","",SUMIFS('Movimentações'!$E$5:$E$5000,'Movimentações'!$B$5:$B$5000,A269,'Movimentações'!$D$5:$D$5000,"Entrada"))</f>
        <v/>
      </c>
      <c r="J269" s="16">
        <f>IF(A269="","",SUMIFS('Movimentações'!$E$5:$E$5000,'Movimentações'!$B$5:$B$5000,A269,'Movimentações'!$D$5:$D$5000,"Saída"))</f>
        <v/>
      </c>
      <c r="K269" s="16">
        <f>IF(A269="","",G269+I269-J269)</f>
        <v/>
      </c>
      <c r="L269" s="14">
        <f>IF(A269="","",IF(K269&lt;=0,"SEM ESTOQUE",IF(K269&lt;=H269,"REPOR","OK")))</f>
        <v/>
      </c>
      <c r="M269" s="15">
        <f>IF(A269="","",MAX(K269,0)*E269)</f>
        <v/>
      </c>
      <c r="N269" s="16">
        <f>IF(A269="","",IF(K269&lt;=H269,MAX(2*H269-K269,0),0))</f>
        <v/>
      </c>
      <c r="O269" s="17">
        <f>IF(OR(A269="",F269=0,F269=""),"",(F269-E269)/F269)</f>
        <v/>
      </c>
    </row>
    <row r="270">
      <c r="A270" s="14" t="n"/>
      <c r="B270" s="14" t="n"/>
      <c r="C270" s="14" t="n"/>
      <c r="D270" s="14" t="n"/>
      <c r="E270" s="15" t="n"/>
      <c r="F270" s="15" t="n"/>
      <c r="G270" s="16" t="n"/>
      <c r="H270" s="16" t="n"/>
      <c r="I270" s="16">
        <f>IF(A270="","",SUMIFS('Movimentações'!$E$5:$E$5000,'Movimentações'!$B$5:$B$5000,A270,'Movimentações'!$D$5:$D$5000,"Entrada"))</f>
        <v/>
      </c>
      <c r="J270" s="16">
        <f>IF(A270="","",SUMIFS('Movimentações'!$E$5:$E$5000,'Movimentações'!$B$5:$B$5000,A270,'Movimentações'!$D$5:$D$5000,"Saída"))</f>
        <v/>
      </c>
      <c r="K270" s="16">
        <f>IF(A270="","",G270+I270-J270)</f>
        <v/>
      </c>
      <c r="L270" s="14">
        <f>IF(A270="","",IF(K270&lt;=0,"SEM ESTOQUE",IF(K270&lt;=H270,"REPOR","OK")))</f>
        <v/>
      </c>
      <c r="M270" s="15">
        <f>IF(A270="","",MAX(K270,0)*E270)</f>
        <v/>
      </c>
      <c r="N270" s="16">
        <f>IF(A270="","",IF(K270&lt;=H270,MAX(2*H270-K270,0),0))</f>
        <v/>
      </c>
      <c r="O270" s="17">
        <f>IF(OR(A270="",F270=0,F270=""),"",(F270-E270)/F270)</f>
        <v/>
      </c>
    </row>
    <row r="271">
      <c r="A271" s="14" t="n"/>
      <c r="B271" s="14" t="n"/>
      <c r="C271" s="14" t="n"/>
      <c r="D271" s="14" t="n"/>
      <c r="E271" s="15" t="n"/>
      <c r="F271" s="15" t="n"/>
      <c r="G271" s="16" t="n"/>
      <c r="H271" s="16" t="n"/>
      <c r="I271" s="16">
        <f>IF(A271="","",SUMIFS('Movimentações'!$E$5:$E$5000,'Movimentações'!$B$5:$B$5000,A271,'Movimentações'!$D$5:$D$5000,"Entrada"))</f>
        <v/>
      </c>
      <c r="J271" s="16">
        <f>IF(A271="","",SUMIFS('Movimentações'!$E$5:$E$5000,'Movimentações'!$B$5:$B$5000,A271,'Movimentações'!$D$5:$D$5000,"Saída"))</f>
        <v/>
      </c>
      <c r="K271" s="16">
        <f>IF(A271="","",G271+I271-J271)</f>
        <v/>
      </c>
      <c r="L271" s="14">
        <f>IF(A271="","",IF(K271&lt;=0,"SEM ESTOQUE",IF(K271&lt;=H271,"REPOR","OK")))</f>
        <v/>
      </c>
      <c r="M271" s="15">
        <f>IF(A271="","",MAX(K271,0)*E271)</f>
        <v/>
      </c>
      <c r="N271" s="16">
        <f>IF(A271="","",IF(K271&lt;=H271,MAX(2*H271-K271,0),0))</f>
        <v/>
      </c>
      <c r="O271" s="17">
        <f>IF(OR(A271="",F271=0,F271=""),"",(F271-E271)/F271)</f>
        <v/>
      </c>
    </row>
    <row r="272">
      <c r="A272" s="14" t="n"/>
      <c r="B272" s="14" t="n"/>
      <c r="C272" s="14" t="n"/>
      <c r="D272" s="14" t="n"/>
      <c r="E272" s="15" t="n"/>
      <c r="F272" s="15" t="n"/>
      <c r="G272" s="16" t="n"/>
      <c r="H272" s="16" t="n"/>
      <c r="I272" s="16">
        <f>IF(A272="","",SUMIFS('Movimentações'!$E$5:$E$5000,'Movimentações'!$B$5:$B$5000,A272,'Movimentações'!$D$5:$D$5000,"Entrada"))</f>
        <v/>
      </c>
      <c r="J272" s="16">
        <f>IF(A272="","",SUMIFS('Movimentações'!$E$5:$E$5000,'Movimentações'!$B$5:$B$5000,A272,'Movimentações'!$D$5:$D$5000,"Saída"))</f>
        <v/>
      </c>
      <c r="K272" s="16">
        <f>IF(A272="","",G272+I272-J272)</f>
        <v/>
      </c>
      <c r="L272" s="14">
        <f>IF(A272="","",IF(K272&lt;=0,"SEM ESTOQUE",IF(K272&lt;=H272,"REPOR","OK")))</f>
        <v/>
      </c>
      <c r="M272" s="15">
        <f>IF(A272="","",MAX(K272,0)*E272)</f>
        <v/>
      </c>
      <c r="N272" s="16">
        <f>IF(A272="","",IF(K272&lt;=H272,MAX(2*H272-K272,0),0))</f>
        <v/>
      </c>
      <c r="O272" s="17">
        <f>IF(OR(A272="",F272=0,F272=""),"",(F272-E272)/F272)</f>
        <v/>
      </c>
    </row>
    <row r="273">
      <c r="A273" s="14" t="n"/>
      <c r="B273" s="14" t="n"/>
      <c r="C273" s="14" t="n"/>
      <c r="D273" s="14" t="n"/>
      <c r="E273" s="15" t="n"/>
      <c r="F273" s="15" t="n"/>
      <c r="G273" s="16" t="n"/>
      <c r="H273" s="16" t="n"/>
      <c r="I273" s="16">
        <f>IF(A273="","",SUMIFS('Movimentações'!$E$5:$E$5000,'Movimentações'!$B$5:$B$5000,A273,'Movimentações'!$D$5:$D$5000,"Entrada"))</f>
        <v/>
      </c>
      <c r="J273" s="16">
        <f>IF(A273="","",SUMIFS('Movimentações'!$E$5:$E$5000,'Movimentações'!$B$5:$B$5000,A273,'Movimentações'!$D$5:$D$5000,"Saída"))</f>
        <v/>
      </c>
      <c r="K273" s="16">
        <f>IF(A273="","",G273+I273-J273)</f>
        <v/>
      </c>
      <c r="L273" s="14">
        <f>IF(A273="","",IF(K273&lt;=0,"SEM ESTOQUE",IF(K273&lt;=H273,"REPOR","OK")))</f>
        <v/>
      </c>
      <c r="M273" s="15">
        <f>IF(A273="","",MAX(K273,0)*E273)</f>
        <v/>
      </c>
      <c r="N273" s="16">
        <f>IF(A273="","",IF(K273&lt;=H273,MAX(2*H273-K273,0),0))</f>
        <v/>
      </c>
      <c r="O273" s="17">
        <f>IF(OR(A273="",F273=0,F273=""),"",(F273-E273)/F273)</f>
        <v/>
      </c>
    </row>
    <row r="274">
      <c r="A274" s="14" t="n"/>
      <c r="B274" s="14" t="n"/>
      <c r="C274" s="14" t="n"/>
      <c r="D274" s="14" t="n"/>
      <c r="E274" s="15" t="n"/>
      <c r="F274" s="15" t="n"/>
      <c r="G274" s="16" t="n"/>
      <c r="H274" s="16" t="n"/>
      <c r="I274" s="16">
        <f>IF(A274="","",SUMIFS('Movimentações'!$E$5:$E$5000,'Movimentações'!$B$5:$B$5000,A274,'Movimentações'!$D$5:$D$5000,"Entrada"))</f>
        <v/>
      </c>
      <c r="J274" s="16">
        <f>IF(A274="","",SUMIFS('Movimentações'!$E$5:$E$5000,'Movimentações'!$B$5:$B$5000,A274,'Movimentações'!$D$5:$D$5000,"Saída"))</f>
        <v/>
      </c>
      <c r="K274" s="16">
        <f>IF(A274="","",G274+I274-J274)</f>
        <v/>
      </c>
      <c r="L274" s="14">
        <f>IF(A274="","",IF(K274&lt;=0,"SEM ESTOQUE",IF(K274&lt;=H274,"REPOR","OK")))</f>
        <v/>
      </c>
      <c r="M274" s="15">
        <f>IF(A274="","",MAX(K274,0)*E274)</f>
        <v/>
      </c>
      <c r="N274" s="16">
        <f>IF(A274="","",IF(K274&lt;=H274,MAX(2*H274-K274,0),0))</f>
        <v/>
      </c>
      <c r="O274" s="17">
        <f>IF(OR(A274="",F274=0,F274=""),"",(F274-E274)/F274)</f>
        <v/>
      </c>
    </row>
    <row r="275">
      <c r="A275" s="14" t="n"/>
      <c r="B275" s="14" t="n"/>
      <c r="C275" s="14" t="n"/>
      <c r="D275" s="14" t="n"/>
      <c r="E275" s="15" t="n"/>
      <c r="F275" s="15" t="n"/>
      <c r="G275" s="16" t="n"/>
      <c r="H275" s="16" t="n"/>
      <c r="I275" s="16">
        <f>IF(A275="","",SUMIFS('Movimentações'!$E$5:$E$5000,'Movimentações'!$B$5:$B$5000,A275,'Movimentações'!$D$5:$D$5000,"Entrada"))</f>
        <v/>
      </c>
      <c r="J275" s="16">
        <f>IF(A275="","",SUMIFS('Movimentações'!$E$5:$E$5000,'Movimentações'!$B$5:$B$5000,A275,'Movimentações'!$D$5:$D$5000,"Saída"))</f>
        <v/>
      </c>
      <c r="K275" s="16">
        <f>IF(A275="","",G275+I275-J275)</f>
        <v/>
      </c>
      <c r="L275" s="14">
        <f>IF(A275="","",IF(K275&lt;=0,"SEM ESTOQUE",IF(K275&lt;=H275,"REPOR","OK")))</f>
        <v/>
      </c>
      <c r="M275" s="15">
        <f>IF(A275="","",MAX(K275,0)*E275)</f>
        <v/>
      </c>
      <c r="N275" s="16">
        <f>IF(A275="","",IF(K275&lt;=H275,MAX(2*H275-K275,0),0))</f>
        <v/>
      </c>
      <c r="O275" s="17">
        <f>IF(OR(A275="",F275=0,F275=""),"",(F275-E275)/F275)</f>
        <v/>
      </c>
    </row>
    <row r="276">
      <c r="A276" s="14" t="n"/>
      <c r="B276" s="14" t="n"/>
      <c r="C276" s="14" t="n"/>
      <c r="D276" s="14" t="n"/>
      <c r="E276" s="15" t="n"/>
      <c r="F276" s="15" t="n"/>
      <c r="G276" s="16" t="n"/>
      <c r="H276" s="16" t="n"/>
      <c r="I276" s="16">
        <f>IF(A276="","",SUMIFS('Movimentações'!$E$5:$E$5000,'Movimentações'!$B$5:$B$5000,A276,'Movimentações'!$D$5:$D$5000,"Entrada"))</f>
        <v/>
      </c>
      <c r="J276" s="16">
        <f>IF(A276="","",SUMIFS('Movimentações'!$E$5:$E$5000,'Movimentações'!$B$5:$B$5000,A276,'Movimentações'!$D$5:$D$5000,"Saída"))</f>
        <v/>
      </c>
      <c r="K276" s="16">
        <f>IF(A276="","",G276+I276-J276)</f>
        <v/>
      </c>
      <c r="L276" s="14">
        <f>IF(A276="","",IF(K276&lt;=0,"SEM ESTOQUE",IF(K276&lt;=H276,"REPOR","OK")))</f>
        <v/>
      </c>
      <c r="M276" s="15">
        <f>IF(A276="","",MAX(K276,0)*E276)</f>
        <v/>
      </c>
      <c r="N276" s="16">
        <f>IF(A276="","",IF(K276&lt;=H276,MAX(2*H276-K276,0),0))</f>
        <v/>
      </c>
      <c r="O276" s="17">
        <f>IF(OR(A276="",F276=0,F276=""),"",(F276-E276)/F276)</f>
        <v/>
      </c>
    </row>
    <row r="277">
      <c r="A277" s="14" t="n"/>
      <c r="B277" s="14" t="n"/>
      <c r="C277" s="14" t="n"/>
      <c r="D277" s="14" t="n"/>
      <c r="E277" s="15" t="n"/>
      <c r="F277" s="15" t="n"/>
      <c r="G277" s="16" t="n"/>
      <c r="H277" s="16" t="n"/>
      <c r="I277" s="16">
        <f>IF(A277="","",SUMIFS('Movimentações'!$E$5:$E$5000,'Movimentações'!$B$5:$B$5000,A277,'Movimentações'!$D$5:$D$5000,"Entrada"))</f>
        <v/>
      </c>
      <c r="J277" s="16">
        <f>IF(A277="","",SUMIFS('Movimentações'!$E$5:$E$5000,'Movimentações'!$B$5:$B$5000,A277,'Movimentações'!$D$5:$D$5000,"Saída"))</f>
        <v/>
      </c>
      <c r="K277" s="16">
        <f>IF(A277="","",G277+I277-J277)</f>
        <v/>
      </c>
      <c r="L277" s="14">
        <f>IF(A277="","",IF(K277&lt;=0,"SEM ESTOQUE",IF(K277&lt;=H277,"REPOR","OK")))</f>
        <v/>
      </c>
      <c r="M277" s="15">
        <f>IF(A277="","",MAX(K277,0)*E277)</f>
        <v/>
      </c>
      <c r="N277" s="16">
        <f>IF(A277="","",IF(K277&lt;=H277,MAX(2*H277-K277,0),0))</f>
        <v/>
      </c>
      <c r="O277" s="17">
        <f>IF(OR(A277="",F277=0,F277=""),"",(F277-E277)/F277)</f>
        <v/>
      </c>
    </row>
    <row r="278">
      <c r="A278" s="14" t="n"/>
      <c r="B278" s="14" t="n"/>
      <c r="C278" s="14" t="n"/>
      <c r="D278" s="14" t="n"/>
      <c r="E278" s="15" t="n"/>
      <c r="F278" s="15" t="n"/>
      <c r="G278" s="16" t="n"/>
      <c r="H278" s="16" t="n"/>
      <c r="I278" s="16">
        <f>IF(A278="","",SUMIFS('Movimentações'!$E$5:$E$5000,'Movimentações'!$B$5:$B$5000,A278,'Movimentações'!$D$5:$D$5000,"Entrada"))</f>
        <v/>
      </c>
      <c r="J278" s="16">
        <f>IF(A278="","",SUMIFS('Movimentações'!$E$5:$E$5000,'Movimentações'!$B$5:$B$5000,A278,'Movimentações'!$D$5:$D$5000,"Saída"))</f>
        <v/>
      </c>
      <c r="K278" s="16">
        <f>IF(A278="","",G278+I278-J278)</f>
        <v/>
      </c>
      <c r="L278" s="14">
        <f>IF(A278="","",IF(K278&lt;=0,"SEM ESTOQUE",IF(K278&lt;=H278,"REPOR","OK")))</f>
        <v/>
      </c>
      <c r="M278" s="15">
        <f>IF(A278="","",MAX(K278,0)*E278)</f>
        <v/>
      </c>
      <c r="N278" s="16">
        <f>IF(A278="","",IF(K278&lt;=H278,MAX(2*H278-K278,0),0))</f>
        <v/>
      </c>
      <c r="O278" s="17">
        <f>IF(OR(A278="",F278=0,F278=""),"",(F278-E278)/F278)</f>
        <v/>
      </c>
    </row>
    <row r="279">
      <c r="A279" s="14" t="n"/>
      <c r="B279" s="14" t="n"/>
      <c r="C279" s="14" t="n"/>
      <c r="D279" s="14" t="n"/>
      <c r="E279" s="15" t="n"/>
      <c r="F279" s="15" t="n"/>
      <c r="G279" s="16" t="n"/>
      <c r="H279" s="16" t="n"/>
      <c r="I279" s="16">
        <f>IF(A279="","",SUMIFS('Movimentações'!$E$5:$E$5000,'Movimentações'!$B$5:$B$5000,A279,'Movimentações'!$D$5:$D$5000,"Entrada"))</f>
        <v/>
      </c>
      <c r="J279" s="16">
        <f>IF(A279="","",SUMIFS('Movimentações'!$E$5:$E$5000,'Movimentações'!$B$5:$B$5000,A279,'Movimentações'!$D$5:$D$5000,"Saída"))</f>
        <v/>
      </c>
      <c r="K279" s="16">
        <f>IF(A279="","",G279+I279-J279)</f>
        <v/>
      </c>
      <c r="L279" s="14">
        <f>IF(A279="","",IF(K279&lt;=0,"SEM ESTOQUE",IF(K279&lt;=H279,"REPOR","OK")))</f>
        <v/>
      </c>
      <c r="M279" s="15">
        <f>IF(A279="","",MAX(K279,0)*E279)</f>
        <v/>
      </c>
      <c r="N279" s="16">
        <f>IF(A279="","",IF(K279&lt;=H279,MAX(2*H279-K279,0),0))</f>
        <v/>
      </c>
      <c r="O279" s="17">
        <f>IF(OR(A279="",F279=0,F279=""),"",(F279-E279)/F279)</f>
        <v/>
      </c>
    </row>
    <row r="280">
      <c r="A280" s="14" t="n"/>
      <c r="B280" s="14" t="n"/>
      <c r="C280" s="14" t="n"/>
      <c r="D280" s="14" t="n"/>
      <c r="E280" s="15" t="n"/>
      <c r="F280" s="15" t="n"/>
      <c r="G280" s="16" t="n"/>
      <c r="H280" s="16" t="n"/>
      <c r="I280" s="16">
        <f>IF(A280="","",SUMIFS('Movimentações'!$E$5:$E$5000,'Movimentações'!$B$5:$B$5000,A280,'Movimentações'!$D$5:$D$5000,"Entrada"))</f>
        <v/>
      </c>
      <c r="J280" s="16">
        <f>IF(A280="","",SUMIFS('Movimentações'!$E$5:$E$5000,'Movimentações'!$B$5:$B$5000,A280,'Movimentações'!$D$5:$D$5000,"Saída"))</f>
        <v/>
      </c>
      <c r="K280" s="16">
        <f>IF(A280="","",G280+I280-J280)</f>
        <v/>
      </c>
      <c r="L280" s="14">
        <f>IF(A280="","",IF(K280&lt;=0,"SEM ESTOQUE",IF(K280&lt;=H280,"REPOR","OK")))</f>
        <v/>
      </c>
      <c r="M280" s="15">
        <f>IF(A280="","",MAX(K280,0)*E280)</f>
        <v/>
      </c>
      <c r="N280" s="16">
        <f>IF(A280="","",IF(K280&lt;=H280,MAX(2*H280-K280,0),0))</f>
        <v/>
      </c>
      <c r="O280" s="17">
        <f>IF(OR(A280="",F280=0,F280=""),"",(F280-E280)/F280)</f>
        <v/>
      </c>
    </row>
    <row r="281">
      <c r="A281" s="14" t="n"/>
      <c r="B281" s="14" t="n"/>
      <c r="C281" s="14" t="n"/>
      <c r="D281" s="14" t="n"/>
      <c r="E281" s="15" t="n"/>
      <c r="F281" s="15" t="n"/>
      <c r="G281" s="16" t="n"/>
      <c r="H281" s="16" t="n"/>
      <c r="I281" s="16">
        <f>IF(A281="","",SUMIFS('Movimentações'!$E$5:$E$5000,'Movimentações'!$B$5:$B$5000,A281,'Movimentações'!$D$5:$D$5000,"Entrada"))</f>
        <v/>
      </c>
      <c r="J281" s="16">
        <f>IF(A281="","",SUMIFS('Movimentações'!$E$5:$E$5000,'Movimentações'!$B$5:$B$5000,A281,'Movimentações'!$D$5:$D$5000,"Saída"))</f>
        <v/>
      </c>
      <c r="K281" s="16">
        <f>IF(A281="","",G281+I281-J281)</f>
        <v/>
      </c>
      <c r="L281" s="14">
        <f>IF(A281="","",IF(K281&lt;=0,"SEM ESTOQUE",IF(K281&lt;=H281,"REPOR","OK")))</f>
        <v/>
      </c>
      <c r="M281" s="15">
        <f>IF(A281="","",MAX(K281,0)*E281)</f>
        <v/>
      </c>
      <c r="N281" s="16">
        <f>IF(A281="","",IF(K281&lt;=H281,MAX(2*H281-K281,0),0))</f>
        <v/>
      </c>
      <c r="O281" s="17">
        <f>IF(OR(A281="",F281=0,F281=""),"",(F281-E281)/F281)</f>
        <v/>
      </c>
    </row>
    <row r="282">
      <c r="A282" s="14" t="n"/>
      <c r="B282" s="14" t="n"/>
      <c r="C282" s="14" t="n"/>
      <c r="D282" s="14" t="n"/>
      <c r="E282" s="15" t="n"/>
      <c r="F282" s="15" t="n"/>
      <c r="G282" s="16" t="n"/>
      <c r="H282" s="16" t="n"/>
      <c r="I282" s="16">
        <f>IF(A282="","",SUMIFS('Movimentações'!$E$5:$E$5000,'Movimentações'!$B$5:$B$5000,A282,'Movimentações'!$D$5:$D$5000,"Entrada"))</f>
        <v/>
      </c>
      <c r="J282" s="16">
        <f>IF(A282="","",SUMIFS('Movimentações'!$E$5:$E$5000,'Movimentações'!$B$5:$B$5000,A282,'Movimentações'!$D$5:$D$5000,"Saída"))</f>
        <v/>
      </c>
      <c r="K282" s="16">
        <f>IF(A282="","",G282+I282-J282)</f>
        <v/>
      </c>
      <c r="L282" s="14">
        <f>IF(A282="","",IF(K282&lt;=0,"SEM ESTOQUE",IF(K282&lt;=H282,"REPOR","OK")))</f>
        <v/>
      </c>
      <c r="M282" s="15">
        <f>IF(A282="","",MAX(K282,0)*E282)</f>
        <v/>
      </c>
      <c r="N282" s="16">
        <f>IF(A282="","",IF(K282&lt;=H282,MAX(2*H282-K282,0),0))</f>
        <v/>
      </c>
      <c r="O282" s="17">
        <f>IF(OR(A282="",F282=0,F282=""),"",(F282-E282)/F282)</f>
        <v/>
      </c>
    </row>
    <row r="283">
      <c r="A283" s="14" t="n"/>
      <c r="B283" s="14" t="n"/>
      <c r="C283" s="14" t="n"/>
      <c r="D283" s="14" t="n"/>
      <c r="E283" s="15" t="n"/>
      <c r="F283" s="15" t="n"/>
      <c r="G283" s="16" t="n"/>
      <c r="H283" s="16" t="n"/>
      <c r="I283" s="16">
        <f>IF(A283="","",SUMIFS('Movimentações'!$E$5:$E$5000,'Movimentações'!$B$5:$B$5000,A283,'Movimentações'!$D$5:$D$5000,"Entrada"))</f>
        <v/>
      </c>
      <c r="J283" s="16">
        <f>IF(A283="","",SUMIFS('Movimentações'!$E$5:$E$5000,'Movimentações'!$B$5:$B$5000,A283,'Movimentações'!$D$5:$D$5000,"Saída"))</f>
        <v/>
      </c>
      <c r="K283" s="16">
        <f>IF(A283="","",G283+I283-J283)</f>
        <v/>
      </c>
      <c r="L283" s="14">
        <f>IF(A283="","",IF(K283&lt;=0,"SEM ESTOQUE",IF(K283&lt;=H283,"REPOR","OK")))</f>
        <v/>
      </c>
      <c r="M283" s="15">
        <f>IF(A283="","",MAX(K283,0)*E283)</f>
        <v/>
      </c>
      <c r="N283" s="16">
        <f>IF(A283="","",IF(K283&lt;=H283,MAX(2*H283-K283,0),0))</f>
        <v/>
      </c>
      <c r="O283" s="17">
        <f>IF(OR(A283="",F283=0,F283=""),"",(F283-E283)/F283)</f>
        <v/>
      </c>
    </row>
    <row r="284">
      <c r="A284" s="14" t="n"/>
      <c r="B284" s="14" t="n"/>
      <c r="C284" s="14" t="n"/>
      <c r="D284" s="14" t="n"/>
      <c r="E284" s="15" t="n"/>
      <c r="F284" s="15" t="n"/>
      <c r="G284" s="16" t="n"/>
      <c r="H284" s="16" t="n"/>
      <c r="I284" s="16">
        <f>IF(A284="","",SUMIFS('Movimentações'!$E$5:$E$5000,'Movimentações'!$B$5:$B$5000,A284,'Movimentações'!$D$5:$D$5000,"Entrada"))</f>
        <v/>
      </c>
      <c r="J284" s="16">
        <f>IF(A284="","",SUMIFS('Movimentações'!$E$5:$E$5000,'Movimentações'!$B$5:$B$5000,A284,'Movimentações'!$D$5:$D$5000,"Saída"))</f>
        <v/>
      </c>
      <c r="K284" s="16">
        <f>IF(A284="","",G284+I284-J284)</f>
        <v/>
      </c>
      <c r="L284" s="14">
        <f>IF(A284="","",IF(K284&lt;=0,"SEM ESTOQUE",IF(K284&lt;=H284,"REPOR","OK")))</f>
        <v/>
      </c>
      <c r="M284" s="15">
        <f>IF(A284="","",MAX(K284,0)*E284)</f>
        <v/>
      </c>
      <c r="N284" s="16">
        <f>IF(A284="","",IF(K284&lt;=H284,MAX(2*H284-K284,0),0))</f>
        <v/>
      </c>
      <c r="O284" s="17">
        <f>IF(OR(A284="",F284=0,F284=""),"",(F284-E284)/F284)</f>
        <v/>
      </c>
    </row>
    <row r="285">
      <c r="A285" s="14" t="n"/>
      <c r="B285" s="14" t="n"/>
      <c r="C285" s="14" t="n"/>
      <c r="D285" s="14" t="n"/>
      <c r="E285" s="15" t="n"/>
      <c r="F285" s="15" t="n"/>
      <c r="G285" s="16" t="n"/>
      <c r="H285" s="16" t="n"/>
      <c r="I285" s="16">
        <f>IF(A285="","",SUMIFS('Movimentações'!$E$5:$E$5000,'Movimentações'!$B$5:$B$5000,A285,'Movimentações'!$D$5:$D$5000,"Entrada"))</f>
        <v/>
      </c>
      <c r="J285" s="16">
        <f>IF(A285="","",SUMIFS('Movimentações'!$E$5:$E$5000,'Movimentações'!$B$5:$B$5000,A285,'Movimentações'!$D$5:$D$5000,"Saída"))</f>
        <v/>
      </c>
      <c r="K285" s="16">
        <f>IF(A285="","",G285+I285-J285)</f>
        <v/>
      </c>
      <c r="L285" s="14">
        <f>IF(A285="","",IF(K285&lt;=0,"SEM ESTOQUE",IF(K285&lt;=H285,"REPOR","OK")))</f>
        <v/>
      </c>
      <c r="M285" s="15">
        <f>IF(A285="","",MAX(K285,0)*E285)</f>
        <v/>
      </c>
      <c r="N285" s="16">
        <f>IF(A285="","",IF(K285&lt;=H285,MAX(2*H285-K285,0),0))</f>
        <v/>
      </c>
      <c r="O285" s="17">
        <f>IF(OR(A285="",F285=0,F285=""),"",(F285-E285)/F285)</f>
        <v/>
      </c>
    </row>
    <row r="286">
      <c r="A286" s="14" t="n"/>
      <c r="B286" s="14" t="n"/>
      <c r="C286" s="14" t="n"/>
      <c r="D286" s="14" t="n"/>
      <c r="E286" s="15" t="n"/>
      <c r="F286" s="15" t="n"/>
      <c r="G286" s="16" t="n"/>
      <c r="H286" s="16" t="n"/>
      <c r="I286" s="16">
        <f>IF(A286="","",SUMIFS('Movimentações'!$E$5:$E$5000,'Movimentações'!$B$5:$B$5000,A286,'Movimentações'!$D$5:$D$5000,"Entrada"))</f>
        <v/>
      </c>
      <c r="J286" s="16">
        <f>IF(A286="","",SUMIFS('Movimentações'!$E$5:$E$5000,'Movimentações'!$B$5:$B$5000,A286,'Movimentações'!$D$5:$D$5000,"Saída"))</f>
        <v/>
      </c>
      <c r="K286" s="16">
        <f>IF(A286="","",G286+I286-J286)</f>
        <v/>
      </c>
      <c r="L286" s="14">
        <f>IF(A286="","",IF(K286&lt;=0,"SEM ESTOQUE",IF(K286&lt;=H286,"REPOR","OK")))</f>
        <v/>
      </c>
      <c r="M286" s="15">
        <f>IF(A286="","",MAX(K286,0)*E286)</f>
        <v/>
      </c>
      <c r="N286" s="16">
        <f>IF(A286="","",IF(K286&lt;=H286,MAX(2*H286-K286,0),0))</f>
        <v/>
      </c>
      <c r="O286" s="17">
        <f>IF(OR(A286="",F286=0,F286=""),"",(F286-E286)/F286)</f>
        <v/>
      </c>
    </row>
    <row r="287">
      <c r="A287" s="14" t="n"/>
      <c r="B287" s="14" t="n"/>
      <c r="C287" s="14" t="n"/>
      <c r="D287" s="14" t="n"/>
      <c r="E287" s="15" t="n"/>
      <c r="F287" s="15" t="n"/>
      <c r="G287" s="16" t="n"/>
      <c r="H287" s="16" t="n"/>
      <c r="I287" s="16">
        <f>IF(A287="","",SUMIFS('Movimentações'!$E$5:$E$5000,'Movimentações'!$B$5:$B$5000,A287,'Movimentações'!$D$5:$D$5000,"Entrada"))</f>
        <v/>
      </c>
      <c r="J287" s="16">
        <f>IF(A287="","",SUMIFS('Movimentações'!$E$5:$E$5000,'Movimentações'!$B$5:$B$5000,A287,'Movimentações'!$D$5:$D$5000,"Saída"))</f>
        <v/>
      </c>
      <c r="K287" s="16">
        <f>IF(A287="","",G287+I287-J287)</f>
        <v/>
      </c>
      <c r="L287" s="14">
        <f>IF(A287="","",IF(K287&lt;=0,"SEM ESTOQUE",IF(K287&lt;=H287,"REPOR","OK")))</f>
        <v/>
      </c>
      <c r="M287" s="15">
        <f>IF(A287="","",MAX(K287,0)*E287)</f>
        <v/>
      </c>
      <c r="N287" s="16">
        <f>IF(A287="","",IF(K287&lt;=H287,MAX(2*H287-K287,0),0))</f>
        <v/>
      </c>
      <c r="O287" s="17">
        <f>IF(OR(A287="",F287=0,F287=""),"",(F287-E287)/F287)</f>
        <v/>
      </c>
    </row>
    <row r="288">
      <c r="A288" s="14" t="n"/>
      <c r="B288" s="14" t="n"/>
      <c r="C288" s="14" t="n"/>
      <c r="D288" s="14" t="n"/>
      <c r="E288" s="15" t="n"/>
      <c r="F288" s="15" t="n"/>
      <c r="G288" s="16" t="n"/>
      <c r="H288" s="16" t="n"/>
      <c r="I288" s="16">
        <f>IF(A288="","",SUMIFS('Movimentações'!$E$5:$E$5000,'Movimentações'!$B$5:$B$5000,A288,'Movimentações'!$D$5:$D$5000,"Entrada"))</f>
        <v/>
      </c>
      <c r="J288" s="16">
        <f>IF(A288="","",SUMIFS('Movimentações'!$E$5:$E$5000,'Movimentações'!$B$5:$B$5000,A288,'Movimentações'!$D$5:$D$5000,"Saída"))</f>
        <v/>
      </c>
      <c r="K288" s="16">
        <f>IF(A288="","",G288+I288-J288)</f>
        <v/>
      </c>
      <c r="L288" s="14">
        <f>IF(A288="","",IF(K288&lt;=0,"SEM ESTOQUE",IF(K288&lt;=H288,"REPOR","OK")))</f>
        <v/>
      </c>
      <c r="M288" s="15">
        <f>IF(A288="","",MAX(K288,0)*E288)</f>
        <v/>
      </c>
      <c r="N288" s="16">
        <f>IF(A288="","",IF(K288&lt;=H288,MAX(2*H288-K288,0),0))</f>
        <v/>
      </c>
      <c r="O288" s="17">
        <f>IF(OR(A288="",F288=0,F288=""),"",(F288-E288)/F288)</f>
        <v/>
      </c>
    </row>
    <row r="289">
      <c r="A289" s="14" t="n"/>
      <c r="B289" s="14" t="n"/>
      <c r="C289" s="14" t="n"/>
      <c r="D289" s="14" t="n"/>
      <c r="E289" s="15" t="n"/>
      <c r="F289" s="15" t="n"/>
      <c r="G289" s="16" t="n"/>
      <c r="H289" s="16" t="n"/>
      <c r="I289" s="16">
        <f>IF(A289="","",SUMIFS('Movimentações'!$E$5:$E$5000,'Movimentações'!$B$5:$B$5000,A289,'Movimentações'!$D$5:$D$5000,"Entrada"))</f>
        <v/>
      </c>
      <c r="J289" s="16">
        <f>IF(A289="","",SUMIFS('Movimentações'!$E$5:$E$5000,'Movimentações'!$B$5:$B$5000,A289,'Movimentações'!$D$5:$D$5000,"Saída"))</f>
        <v/>
      </c>
      <c r="K289" s="16">
        <f>IF(A289="","",G289+I289-J289)</f>
        <v/>
      </c>
      <c r="L289" s="14">
        <f>IF(A289="","",IF(K289&lt;=0,"SEM ESTOQUE",IF(K289&lt;=H289,"REPOR","OK")))</f>
        <v/>
      </c>
      <c r="M289" s="15">
        <f>IF(A289="","",MAX(K289,0)*E289)</f>
        <v/>
      </c>
      <c r="N289" s="16">
        <f>IF(A289="","",IF(K289&lt;=H289,MAX(2*H289-K289,0),0))</f>
        <v/>
      </c>
      <c r="O289" s="17">
        <f>IF(OR(A289="",F289=0,F289=""),"",(F289-E289)/F289)</f>
        <v/>
      </c>
    </row>
    <row r="290">
      <c r="A290" s="14" t="n"/>
      <c r="B290" s="14" t="n"/>
      <c r="C290" s="14" t="n"/>
      <c r="D290" s="14" t="n"/>
      <c r="E290" s="15" t="n"/>
      <c r="F290" s="15" t="n"/>
      <c r="G290" s="16" t="n"/>
      <c r="H290" s="16" t="n"/>
      <c r="I290" s="16">
        <f>IF(A290="","",SUMIFS('Movimentações'!$E$5:$E$5000,'Movimentações'!$B$5:$B$5000,A290,'Movimentações'!$D$5:$D$5000,"Entrada"))</f>
        <v/>
      </c>
      <c r="J290" s="16">
        <f>IF(A290="","",SUMIFS('Movimentações'!$E$5:$E$5000,'Movimentações'!$B$5:$B$5000,A290,'Movimentações'!$D$5:$D$5000,"Saída"))</f>
        <v/>
      </c>
      <c r="K290" s="16">
        <f>IF(A290="","",G290+I290-J290)</f>
        <v/>
      </c>
      <c r="L290" s="14">
        <f>IF(A290="","",IF(K290&lt;=0,"SEM ESTOQUE",IF(K290&lt;=H290,"REPOR","OK")))</f>
        <v/>
      </c>
      <c r="M290" s="15">
        <f>IF(A290="","",MAX(K290,0)*E290)</f>
        <v/>
      </c>
      <c r="N290" s="16">
        <f>IF(A290="","",IF(K290&lt;=H290,MAX(2*H290-K290,0),0))</f>
        <v/>
      </c>
      <c r="O290" s="17">
        <f>IF(OR(A290="",F290=0,F290=""),"",(F290-E290)/F290)</f>
        <v/>
      </c>
    </row>
    <row r="291">
      <c r="A291" s="14" t="n"/>
      <c r="B291" s="14" t="n"/>
      <c r="C291" s="14" t="n"/>
      <c r="D291" s="14" t="n"/>
      <c r="E291" s="15" t="n"/>
      <c r="F291" s="15" t="n"/>
      <c r="G291" s="16" t="n"/>
      <c r="H291" s="16" t="n"/>
      <c r="I291" s="16">
        <f>IF(A291="","",SUMIFS('Movimentações'!$E$5:$E$5000,'Movimentações'!$B$5:$B$5000,A291,'Movimentações'!$D$5:$D$5000,"Entrada"))</f>
        <v/>
      </c>
      <c r="J291" s="16">
        <f>IF(A291="","",SUMIFS('Movimentações'!$E$5:$E$5000,'Movimentações'!$B$5:$B$5000,A291,'Movimentações'!$D$5:$D$5000,"Saída"))</f>
        <v/>
      </c>
      <c r="K291" s="16">
        <f>IF(A291="","",G291+I291-J291)</f>
        <v/>
      </c>
      <c r="L291" s="14">
        <f>IF(A291="","",IF(K291&lt;=0,"SEM ESTOQUE",IF(K291&lt;=H291,"REPOR","OK")))</f>
        <v/>
      </c>
      <c r="M291" s="15">
        <f>IF(A291="","",MAX(K291,0)*E291)</f>
        <v/>
      </c>
      <c r="N291" s="16">
        <f>IF(A291="","",IF(K291&lt;=H291,MAX(2*H291-K291,0),0))</f>
        <v/>
      </c>
      <c r="O291" s="17">
        <f>IF(OR(A291="",F291=0,F291=""),"",(F291-E291)/F291)</f>
        <v/>
      </c>
    </row>
    <row r="292">
      <c r="A292" s="14" t="n"/>
      <c r="B292" s="14" t="n"/>
      <c r="C292" s="14" t="n"/>
      <c r="D292" s="14" t="n"/>
      <c r="E292" s="15" t="n"/>
      <c r="F292" s="15" t="n"/>
      <c r="G292" s="16" t="n"/>
      <c r="H292" s="16" t="n"/>
      <c r="I292" s="16">
        <f>IF(A292="","",SUMIFS('Movimentações'!$E$5:$E$5000,'Movimentações'!$B$5:$B$5000,A292,'Movimentações'!$D$5:$D$5000,"Entrada"))</f>
        <v/>
      </c>
      <c r="J292" s="16">
        <f>IF(A292="","",SUMIFS('Movimentações'!$E$5:$E$5000,'Movimentações'!$B$5:$B$5000,A292,'Movimentações'!$D$5:$D$5000,"Saída"))</f>
        <v/>
      </c>
      <c r="K292" s="16">
        <f>IF(A292="","",G292+I292-J292)</f>
        <v/>
      </c>
      <c r="L292" s="14">
        <f>IF(A292="","",IF(K292&lt;=0,"SEM ESTOQUE",IF(K292&lt;=H292,"REPOR","OK")))</f>
        <v/>
      </c>
      <c r="M292" s="15">
        <f>IF(A292="","",MAX(K292,0)*E292)</f>
        <v/>
      </c>
      <c r="N292" s="16">
        <f>IF(A292="","",IF(K292&lt;=H292,MAX(2*H292-K292,0),0))</f>
        <v/>
      </c>
      <c r="O292" s="17">
        <f>IF(OR(A292="",F292=0,F292=""),"",(F292-E292)/F292)</f>
        <v/>
      </c>
    </row>
    <row r="293">
      <c r="A293" s="14" t="n"/>
      <c r="B293" s="14" t="n"/>
      <c r="C293" s="14" t="n"/>
      <c r="D293" s="14" t="n"/>
      <c r="E293" s="15" t="n"/>
      <c r="F293" s="15" t="n"/>
      <c r="G293" s="16" t="n"/>
      <c r="H293" s="16" t="n"/>
      <c r="I293" s="16">
        <f>IF(A293="","",SUMIFS('Movimentações'!$E$5:$E$5000,'Movimentações'!$B$5:$B$5000,A293,'Movimentações'!$D$5:$D$5000,"Entrada"))</f>
        <v/>
      </c>
      <c r="J293" s="16">
        <f>IF(A293="","",SUMIFS('Movimentações'!$E$5:$E$5000,'Movimentações'!$B$5:$B$5000,A293,'Movimentações'!$D$5:$D$5000,"Saída"))</f>
        <v/>
      </c>
      <c r="K293" s="16">
        <f>IF(A293="","",G293+I293-J293)</f>
        <v/>
      </c>
      <c r="L293" s="14">
        <f>IF(A293="","",IF(K293&lt;=0,"SEM ESTOQUE",IF(K293&lt;=H293,"REPOR","OK")))</f>
        <v/>
      </c>
      <c r="M293" s="15">
        <f>IF(A293="","",MAX(K293,0)*E293)</f>
        <v/>
      </c>
      <c r="N293" s="16">
        <f>IF(A293="","",IF(K293&lt;=H293,MAX(2*H293-K293,0),0))</f>
        <v/>
      </c>
      <c r="O293" s="17">
        <f>IF(OR(A293="",F293=0,F293=""),"",(F293-E293)/F293)</f>
        <v/>
      </c>
    </row>
    <row r="294">
      <c r="A294" s="14" t="n"/>
      <c r="B294" s="14" t="n"/>
      <c r="C294" s="14" t="n"/>
      <c r="D294" s="14" t="n"/>
      <c r="E294" s="15" t="n"/>
      <c r="F294" s="15" t="n"/>
      <c r="G294" s="16" t="n"/>
      <c r="H294" s="16" t="n"/>
      <c r="I294" s="16">
        <f>IF(A294="","",SUMIFS('Movimentações'!$E$5:$E$5000,'Movimentações'!$B$5:$B$5000,A294,'Movimentações'!$D$5:$D$5000,"Entrada"))</f>
        <v/>
      </c>
      <c r="J294" s="16">
        <f>IF(A294="","",SUMIFS('Movimentações'!$E$5:$E$5000,'Movimentações'!$B$5:$B$5000,A294,'Movimentações'!$D$5:$D$5000,"Saída"))</f>
        <v/>
      </c>
      <c r="K294" s="16">
        <f>IF(A294="","",G294+I294-J294)</f>
        <v/>
      </c>
      <c r="L294" s="14">
        <f>IF(A294="","",IF(K294&lt;=0,"SEM ESTOQUE",IF(K294&lt;=H294,"REPOR","OK")))</f>
        <v/>
      </c>
      <c r="M294" s="15">
        <f>IF(A294="","",MAX(K294,0)*E294)</f>
        <v/>
      </c>
      <c r="N294" s="16">
        <f>IF(A294="","",IF(K294&lt;=H294,MAX(2*H294-K294,0),0))</f>
        <v/>
      </c>
      <c r="O294" s="17">
        <f>IF(OR(A294="",F294=0,F294=""),"",(F294-E294)/F294)</f>
        <v/>
      </c>
    </row>
    <row r="295">
      <c r="A295" s="14" t="n"/>
      <c r="B295" s="14" t="n"/>
      <c r="C295" s="14" t="n"/>
      <c r="D295" s="14" t="n"/>
      <c r="E295" s="15" t="n"/>
      <c r="F295" s="15" t="n"/>
      <c r="G295" s="16" t="n"/>
      <c r="H295" s="16" t="n"/>
      <c r="I295" s="16">
        <f>IF(A295="","",SUMIFS('Movimentações'!$E$5:$E$5000,'Movimentações'!$B$5:$B$5000,A295,'Movimentações'!$D$5:$D$5000,"Entrada"))</f>
        <v/>
      </c>
      <c r="J295" s="16">
        <f>IF(A295="","",SUMIFS('Movimentações'!$E$5:$E$5000,'Movimentações'!$B$5:$B$5000,A295,'Movimentações'!$D$5:$D$5000,"Saída"))</f>
        <v/>
      </c>
      <c r="K295" s="16">
        <f>IF(A295="","",G295+I295-J295)</f>
        <v/>
      </c>
      <c r="L295" s="14">
        <f>IF(A295="","",IF(K295&lt;=0,"SEM ESTOQUE",IF(K295&lt;=H295,"REPOR","OK")))</f>
        <v/>
      </c>
      <c r="M295" s="15">
        <f>IF(A295="","",MAX(K295,0)*E295)</f>
        <v/>
      </c>
      <c r="N295" s="16">
        <f>IF(A295="","",IF(K295&lt;=H295,MAX(2*H295-K295,0),0))</f>
        <v/>
      </c>
      <c r="O295" s="17">
        <f>IF(OR(A295="",F295=0,F295=""),"",(F295-E295)/F295)</f>
        <v/>
      </c>
    </row>
    <row r="296">
      <c r="A296" s="14" t="n"/>
      <c r="B296" s="14" t="n"/>
      <c r="C296" s="14" t="n"/>
      <c r="D296" s="14" t="n"/>
      <c r="E296" s="15" t="n"/>
      <c r="F296" s="15" t="n"/>
      <c r="G296" s="16" t="n"/>
      <c r="H296" s="16" t="n"/>
      <c r="I296" s="16">
        <f>IF(A296="","",SUMIFS('Movimentações'!$E$5:$E$5000,'Movimentações'!$B$5:$B$5000,A296,'Movimentações'!$D$5:$D$5000,"Entrada"))</f>
        <v/>
      </c>
      <c r="J296" s="16">
        <f>IF(A296="","",SUMIFS('Movimentações'!$E$5:$E$5000,'Movimentações'!$B$5:$B$5000,A296,'Movimentações'!$D$5:$D$5000,"Saída"))</f>
        <v/>
      </c>
      <c r="K296" s="16">
        <f>IF(A296="","",G296+I296-J296)</f>
        <v/>
      </c>
      <c r="L296" s="14">
        <f>IF(A296="","",IF(K296&lt;=0,"SEM ESTOQUE",IF(K296&lt;=H296,"REPOR","OK")))</f>
        <v/>
      </c>
      <c r="M296" s="15">
        <f>IF(A296="","",MAX(K296,0)*E296)</f>
        <v/>
      </c>
      <c r="N296" s="16">
        <f>IF(A296="","",IF(K296&lt;=H296,MAX(2*H296-K296,0),0))</f>
        <v/>
      </c>
      <c r="O296" s="17">
        <f>IF(OR(A296="",F296=0,F296=""),"",(F296-E296)/F296)</f>
        <v/>
      </c>
    </row>
    <row r="297">
      <c r="A297" s="14" t="n"/>
      <c r="B297" s="14" t="n"/>
      <c r="C297" s="14" t="n"/>
      <c r="D297" s="14" t="n"/>
      <c r="E297" s="15" t="n"/>
      <c r="F297" s="15" t="n"/>
      <c r="G297" s="16" t="n"/>
      <c r="H297" s="16" t="n"/>
      <c r="I297" s="16">
        <f>IF(A297="","",SUMIFS('Movimentações'!$E$5:$E$5000,'Movimentações'!$B$5:$B$5000,A297,'Movimentações'!$D$5:$D$5000,"Entrada"))</f>
        <v/>
      </c>
      <c r="J297" s="16">
        <f>IF(A297="","",SUMIFS('Movimentações'!$E$5:$E$5000,'Movimentações'!$B$5:$B$5000,A297,'Movimentações'!$D$5:$D$5000,"Saída"))</f>
        <v/>
      </c>
      <c r="K297" s="16">
        <f>IF(A297="","",G297+I297-J297)</f>
        <v/>
      </c>
      <c r="L297" s="14">
        <f>IF(A297="","",IF(K297&lt;=0,"SEM ESTOQUE",IF(K297&lt;=H297,"REPOR","OK")))</f>
        <v/>
      </c>
      <c r="M297" s="15">
        <f>IF(A297="","",MAX(K297,0)*E297)</f>
        <v/>
      </c>
      <c r="N297" s="16">
        <f>IF(A297="","",IF(K297&lt;=H297,MAX(2*H297-K297,0),0))</f>
        <v/>
      </c>
      <c r="O297" s="17">
        <f>IF(OR(A297="",F297=0,F297=""),"",(F297-E297)/F297)</f>
        <v/>
      </c>
    </row>
    <row r="298">
      <c r="A298" s="14" t="n"/>
      <c r="B298" s="14" t="n"/>
      <c r="C298" s="14" t="n"/>
      <c r="D298" s="14" t="n"/>
      <c r="E298" s="15" t="n"/>
      <c r="F298" s="15" t="n"/>
      <c r="G298" s="16" t="n"/>
      <c r="H298" s="16" t="n"/>
      <c r="I298" s="16">
        <f>IF(A298="","",SUMIFS('Movimentações'!$E$5:$E$5000,'Movimentações'!$B$5:$B$5000,A298,'Movimentações'!$D$5:$D$5000,"Entrada"))</f>
        <v/>
      </c>
      <c r="J298" s="16">
        <f>IF(A298="","",SUMIFS('Movimentações'!$E$5:$E$5000,'Movimentações'!$B$5:$B$5000,A298,'Movimentações'!$D$5:$D$5000,"Saída"))</f>
        <v/>
      </c>
      <c r="K298" s="16">
        <f>IF(A298="","",G298+I298-J298)</f>
        <v/>
      </c>
      <c r="L298" s="14">
        <f>IF(A298="","",IF(K298&lt;=0,"SEM ESTOQUE",IF(K298&lt;=H298,"REPOR","OK")))</f>
        <v/>
      </c>
      <c r="M298" s="15">
        <f>IF(A298="","",MAX(K298,0)*E298)</f>
        <v/>
      </c>
      <c r="N298" s="16">
        <f>IF(A298="","",IF(K298&lt;=H298,MAX(2*H298-K298,0),0))</f>
        <v/>
      </c>
      <c r="O298" s="17">
        <f>IF(OR(A298="",F298=0,F298=""),"",(F298-E298)/F298)</f>
        <v/>
      </c>
    </row>
    <row r="299">
      <c r="A299" s="14" t="n"/>
      <c r="B299" s="14" t="n"/>
      <c r="C299" s="14" t="n"/>
      <c r="D299" s="14" t="n"/>
      <c r="E299" s="15" t="n"/>
      <c r="F299" s="15" t="n"/>
      <c r="G299" s="16" t="n"/>
      <c r="H299" s="16" t="n"/>
      <c r="I299" s="16">
        <f>IF(A299="","",SUMIFS('Movimentações'!$E$5:$E$5000,'Movimentações'!$B$5:$B$5000,A299,'Movimentações'!$D$5:$D$5000,"Entrada"))</f>
        <v/>
      </c>
      <c r="J299" s="16">
        <f>IF(A299="","",SUMIFS('Movimentações'!$E$5:$E$5000,'Movimentações'!$B$5:$B$5000,A299,'Movimentações'!$D$5:$D$5000,"Saída"))</f>
        <v/>
      </c>
      <c r="K299" s="16">
        <f>IF(A299="","",G299+I299-J299)</f>
        <v/>
      </c>
      <c r="L299" s="14">
        <f>IF(A299="","",IF(K299&lt;=0,"SEM ESTOQUE",IF(K299&lt;=H299,"REPOR","OK")))</f>
        <v/>
      </c>
      <c r="M299" s="15">
        <f>IF(A299="","",MAX(K299,0)*E299)</f>
        <v/>
      </c>
      <c r="N299" s="16">
        <f>IF(A299="","",IF(K299&lt;=H299,MAX(2*H299-K299,0),0))</f>
        <v/>
      </c>
      <c r="O299" s="17">
        <f>IF(OR(A299="",F299=0,F299=""),"",(F299-E299)/F299)</f>
        <v/>
      </c>
    </row>
    <row r="300">
      <c r="A300" s="14" t="n"/>
      <c r="B300" s="14" t="n"/>
      <c r="C300" s="14" t="n"/>
      <c r="D300" s="14" t="n"/>
      <c r="E300" s="15" t="n"/>
      <c r="F300" s="15" t="n"/>
      <c r="G300" s="16" t="n"/>
      <c r="H300" s="16" t="n"/>
      <c r="I300" s="16">
        <f>IF(A300="","",SUMIFS('Movimentações'!$E$5:$E$5000,'Movimentações'!$B$5:$B$5000,A300,'Movimentações'!$D$5:$D$5000,"Entrada"))</f>
        <v/>
      </c>
      <c r="J300" s="16">
        <f>IF(A300="","",SUMIFS('Movimentações'!$E$5:$E$5000,'Movimentações'!$B$5:$B$5000,A300,'Movimentações'!$D$5:$D$5000,"Saída"))</f>
        <v/>
      </c>
      <c r="K300" s="16">
        <f>IF(A300="","",G300+I300-J300)</f>
        <v/>
      </c>
      <c r="L300" s="14">
        <f>IF(A300="","",IF(K300&lt;=0,"SEM ESTOQUE",IF(K300&lt;=H300,"REPOR","OK")))</f>
        <v/>
      </c>
      <c r="M300" s="15">
        <f>IF(A300="","",MAX(K300,0)*E300)</f>
        <v/>
      </c>
      <c r="N300" s="16">
        <f>IF(A300="","",IF(K300&lt;=H300,MAX(2*H300-K300,0),0))</f>
        <v/>
      </c>
      <c r="O300" s="17">
        <f>IF(OR(A300="",F300=0,F300=""),"",(F300-E300)/F300)</f>
        <v/>
      </c>
    </row>
    <row r="301">
      <c r="A301" s="14" t="n"/>
      <c r="B301" s="14" t="n"/>
      <c r="C301" s="14" t="n"/>
      <c r="D301" s="14" t="n"/>
      <c r="E301" s="15" t="n"/>
      <c r="F301" s="15" t="n"/>
      <c r="G301" s="16" t="n"/>
      <c r="H301" s="16" t="n"/>
      <c r="I301" s="16">
        <f>IF(A301="","",SUMIFS('Movimentações'!$E$5:$E$5000,'Movimentações'!$B$5:$B$5000,A301,'Movimentações'!$D$5:$D$5000,"Entrada"))</f>
        <v/>
      </c>
      <c r="J301" s="16">
        <f>IF(A301="","",SUMIFS('Movimentações'!$E$5:$E$5000,'Movimentações'!$B$5:$B$5000,A301,'Movimentações'!$D$5:$D$5000,"Saída"))</f>
        <v/>
      </c>
      <c r="K301" s="16">
        <f>IF(A301="","",G301+I301-J301)</f>
        <v/>
      </c>
      <c r="L301" s="14">
        <f>IF(A301="","",IF(K301&lt;=0,"SEM ESTOQUE",IF(K301&lt;=H301,"REPOR","OK")))</f>
        <v/>
      </c>
      <c r="M301" s="15">
        <f>IF(A301="","",MAX(K301,0)*E301)</f>
        <v/>
      </c>
      <c r="N301" s="16">
        <f>IF(A301="","",IF(K301&lt;=H301,MAX(2*H301-K301,0),0))</f>
        <v/>
      </c>
      <c r="O301" s="17">
        <f>IF(OR(A301="",F301=0,F301=""),"",(F301-E301)/F301)</f>
        <v/>
      </c>
    </row>
    <row r="302">
      <c r="A302" s="14" t="n"/>
      <c r="B302" s="14" t="n"/>
      <c r="C302" s="14" t="n"/>
      <c r="D302" s="14" t="n"/>
      <c r="E302" s="15" t="n"/>
      <c r="F302" s="15" t="n"/>
      <c r="G302" s="16" t="n"/>
      <c r="H302" s="16" t="n"/>
      <c r="I302" s="16">
        <f>IF(A302="","",SUMIFS('Movimentações'!$E$5:$E$5000,'Movimentações'!$B$5:$B$5000,A302,'Movimentações'!$D$5:$D$5000,"Entrada"))</f>
        <v/>
      </c>
      <c r="J302" s="16">
        <f>IF(A302="","",SUMIFS('Movimentações'!$E$5:$E$5000,'Movimentações'!$B$5:$B$5000,A302,'Movimentações'!$D$5:$D$5000,"Saída"))</f>
        <v/>
      </c>
      <c r="K302" s="16">
        <f>IF(A302="","",G302+I302-J302)</f>
        <v/>
      </c>
      <c r="L302" s="14">
        <f>IF(A302="","",IF(K302&lt;=0,"SEM ESTOQUE",IF(K302&lt;=H302,"REPOR","OK")))</f>
        <v/>
      </c>
      <c r="M302" s="15">
        <f>IF(A302="","",MAX(K302,0)*E302)</f>
        <v/>
      </c>
      <c r="N302" s="16">
        <f>IF(A302="","",IF(K302&lt;=H302,MAX(2*H302-K302,0),0))</f>
        <v/>
      </c>
      <c r="O302" s="17">
        <f>IF(OR(A302="",F302=0,F302=""),"",(F302-E302)/F302)</f>
        <v/>
      </c>
    </row>
    <row r="303">
      <c r="A303" s="14" t="n"/>
      <c r="B303" s="14" t="n"/>
      <c r="C303" s="14" t="n"/>
      <c r="D303" s="14" t="n"/>
      <c r="E303" s="15" t="n"/>
      <c r="F303" s="15" t="n"/>
      <c r="G303" s="16" t="n"/>
      <c r="H303" s="16" t="n"/>
      <c r="I303" s="16">
        <f>IF(A303="","",SUMIFS('Movimentações'!$E$5:$E$5000,'Movimentações'!$B$5:$B$5000,A303,'Movimentações'!$D$5:$D$5000,"Entrada"))</f>
        <v/>
      </c>
      <c r="J303" s="16">
        <f>IF(A303="","",SUMIFS('Movimentações'!$E$5:$E$5000,'Movimentações'!$B$5:$B$5000,A303,'Movimentações'!$D$5:$D$5000,"Saída"))</f>
        <v/>
      </c>
      <c r="K303" s="16">
        <f>IF(A303="","",G303+I303-J303)</f>
        <v/>
      </c>
      <c r="L303" s="14">
        <f>IF(A303="","",IF(K303&lt;=0,"SEM ESTOQUE",IF(K303&lt;=H303,"REPOR","OK")))</f>
        <v/>
      </c>
      <c r="M303" s="15">
        <f>IF(A303="","",MAX(K303,0)*E303)</f>
        <v/>
      </c>
      <c r="N303" s="16">
        <f>IF(A303="","",IF(K303&lt;=H303,MAX(2*H303-K303,0),0))</f>
        <v/>
      </c>
      <c r="O303" s="17">
        <f>IF(OR(A303="",F303=0,F303=""),"",(F303-E303)/F303)</f>
        <v/>
      </c>
    </row>
    <row r="304">
      <c r="A304" s="14" t="n"/>
      <c r="B304" s="14" t="n"/>
      <c r="C304" s="14" t="n"/>
      <c r="D304" s="14" t="n"/>
      <c r="E304" s="15" t="n"/>
      <c r="F304" s="15" t="n"/>
      <c r="G304" s="16" t="n"/>
      <c r="H304" s="16" t="n"/>
      <c r="I304" s="16">
        <f>IF(A304="","",SUMIFS('Movimentações'!$E$5:$E$5000,'Movimentações'!$B$5:$B$5000,A304,'Movimentações'!$D$5:$D$5000,"Entrada"))</f>
        <v/>
      </c>
      <c r="J304" s="16">
        <f>IF(A304="","",SUMIFS('Movimentações'!$E$5:$E$5000,'Movimentações'!$B$5:$B$5000,A304,'Movimentações'!$D$5:$D$5000,"Saída"))</f>
        <v/>
      </c>
      <c r="K304" s="16">
        <f>IF(A304="","",G304+I304-J304)</f>
        <v/>
      </c>
      <c r="L304" s="14">
        <f>IF(A304="","",IF(K304&lt;=0,"SEM ESTOQUE",IF(K304&lt;=H304,"REPOR","OK")))</f>
        <v/>
      </c>
      <c r="M304" s="15">
        <f>IF(A304="","",MAX(K304,0)*E304)</f>
        <v/>
      </c>
      <c r="N304" s="16">
        <f>IF(A304="","",IF(K304&lt;=H304,MAX(2*H304-K304,0),0))</f>
        <v/>
      </c>
      <c r="O304" s="17">
        <f>IF(OR(A304="",F304=0,F304=""),"",(F304-E304)/F304)</f>
        <v/>
      </c>
    </row>
    <row r="305">
      <c r="A305" s="14" t="n"/>
      <c r="B305" s="14" t="n"/>
      <c r="C305" s="14" t="n"/>
      <c r="D305" s="14" t="n"/>
      <c r="E305" s="15" t="n"/>
      <c r="F305" s="15" t="n"/>
      <c r="G305" s="16" t="n"/>
      <c r="H305" s="16" t="n"/>
      <c r="I305" s="16">
        <f>IF(A305="","",SUMIFS('Movimentações'!$E$5:$E$5000,'Movimentações'!$B$5:$B$5000,A305,'Movimentações'!$D$5:$D$5000,"Entrada"))</f>
        <v/>
      </c>
      <c r="J305" s="16">
        <f>IF(A305="","",SUMIFS('Movimentações'!$E$5:$E$5000,'Movimentações'!$B$5:$B$5000,A305,'Movimentações'!$D$5:$D$5000,"Saída"))</f>
        <v/>
      </c>
      <c r="K305" s="16">
        <f>IF(A305="","",G305+I305-J305)</f>
        <v/>
      </c>
      <c r="L305" s="14">
        <f>IF(A305="","",IF(K305&lt;=0,"SEM ESTOQUE",IF(K305&lt;=H305,"REPOR","OK")))</f>
        <v/>
      </c>
      <c r="M305" s="15">
        <f>IF(A305="","",MAX(K305,0)*E305)</f>
        <v/>
      </c>
      <c r="N305" s="16">
        <f>IF(A305="","",IF(K305&lt;=H305,MAX(2*H305-K305,0),0))</f>
        <v/>
      </c>
      <c r="O305" s="17">
        <f>IF(OR(A305="",F305=0,F305=""),"",(F305-E305)/F305)</f>
        <v/>
      </c>
    </row>
    <row r="306">
      <c r="A306" s="14" t="n"/>
      <c r="B306" s="14" t="n"/>
      <c r="C306" s="14" t="n"/>
      <c r="D306" s="14" t="n"/>
      <c r="E306" s="15" t="n"/>
      <c r="F306" s="15" t="n"/>
      <c r="G306" s="16" t="n"/>
      <c r="H306" s="16" t="n"/>
      <c r="I306" s="16">
        <f>IF(A306="","",SUMIFS('Movimentações'!$E$5:$E$5000,'Movimentações'!$B$5:$B$5000,A306,'Movimentações'!$D$5:$D$5000,"Entrada"))</f>
        <v/>
      </c>
      <c r="J306" s="16">
        <f>IF(A306="","",SUMIFS('Movimentações'!$E$5:$E$5000,'Movimentações'!$B$5:$B$5000,A306,'Movimentações'!$D$5:$D$5000,"Saída"))</f>
        <v/>
      </c>
      <c r="K306" s="16">
        <f>IF(A306="","",G306+I306-J306)</f>
        <v/>
      </c>
      <c r="L306" s="14">
        <f>IF(A306="","",IF(K306&lt;=0,"SEM ESTOQUE",IF(K306&lt;=H306,"REPOR","OK")))</f>
        <v/>
      </c>
      <c r="M306" s="15">
        <f>IF(A306="","",MAX(K306,0)*E306)</f>
        <v/>
      </c>
      <c r="N306" s="16">
        <f>IF(A306="","",IF(K306&lt;=H306,MAX(2*H306-K306,0),0))</f>
        <v/>
      </c>
      <c r="O306" s="17">
        <f>IF(OR(A306="",F306=0,F306=""),"",(F306-E306)/F306)</f>
        <v/>
      </c>
    </row>
    <row r="307">
      <c r="A307" s="14" t="n"/>
      <c r="B307" s="14" t="n"/>
      <c r="C307" s="14" t="n"/>
      <c r="D307" s="14" t="n"/>
      <c r="E307" s="15" t="n"/>
      <c r="F307" s="15" t="n"/>
      <c r="G307" s="16" t="n"/>
      <c r="H307" s="16" t="n"/>
      <c r="I307" s="16">
        <f>IF(A307="","",SUMIFS('Movimentações'!$E$5:$E$5000,'Movimentações'!$B$5:$B$5000,A307,'Movimentações'!$D$5:$D$5000,"Entrada"))</f>
        <v/>
      </c>
      <c r="J307" s="16">
        <f>IF(A307="","",SUMIFS('Movimentações'!$E$5:$E$5000,'Movimentações'!$B$5:$B$5000,A307,'Movimentações'!$D$5:$D$5000,"Saída"))</f>
        <v/>
      </c>
      <c r="K307" s="16">
        <f>IF(A307="","",G307+I307-J307)</f>
        <v/>
      </c>
      <c r="L307" s="14">
        <f>IF(A307="","",IF(K307&lt;=0,"SEM ESTOQUE",IF(K307&lt;=H307,"REPOR","OK")))</f>
        <v/>
      </c>
      <c r="M307" s="15">
        <f>IF(A307="","",MAX(K307,0)*E307)</f>
        <v/>
      </c>
      <c r="N307" s="16">
        <f>IF(A307="","",IF(K307&lt;=H307,MAX(2*H307-K307,0),0))</f>
        <v/>
      </c>
      <c r="O307" s="17">
        <f>IF(OR(A307="",F307=0,F307=""),"",(F307-E307)/F307)</f>
        <v/>
      </c>
    </row>
    <row r="308">
      <c r="A308" s="14" t="n"/>
      <c r="B308" s="14" t="n"/>
      <c r="C308" s="14" t="n"/>
      <c r="D308" s="14" t="n"/>
      <c r="E308" s="15" t="n"/>
      <c r="F308" s="15" t="n"/>
      <c r="G308" s="16" t="n"/>
      <c r="H308" s="16" t="n"/>
      <c r="I308" s="16">
        <f>IF(A308="","",SUMIFS('Movimentações'!$E$5:$E$5000,'Movimentações'!$B$5:$B$5000,A308,'Movimentações'!$D$5:$D$5000,"Entrada"))</f>
        <v/>
      </c>
      <c r="J308" s="16">
        <f>IF(A308="","",SUMIFS('Movimentações'!$E$5:$E$5000,'Movimentações'!$B$5:$B$5000,A308,'Movimentações'!$D$5:$D$5000,"Saída"))</f>
        <v/>
      </c>
      <c r="K308" s="16">
        <f>IF(A308="","",G308+I308-J308)</f>
        <v/>
      </c>
      <c r="L308" s="14">
        <f>IF(A308="","",IF(K308&lt;=0,"SEM ESTOQUE",IF(K308&lt;=H308,"REPOR","OK")))</f>
        <v/>
      </c>
      <c r="M308" s="15">
        <f>IF(A308="","",MAX(K308,0)*E308)</f>
        <v/>
      </c>
      <c r="N308" s="16">
        <f>IF(A308="","",IF(K308&lt;=H308,MAX(2*H308-K308,0),0))</f>
        <v/>
      </c>
      <c r="O308" s="17">
        <f>IF(OR(A308="",F308=0,F308=""),"",(F308-E308)/F308)</f>
        <v/>
      </c>
    </row>
    <row r="309">
      <c r="A309" s="14" t="n"/>
      <c r="B309" s="14" t="n"/>
      <c r="C309" s="14" t="n"/>
      <c r="D309" s="14" t="n"/>
      <c r="E309" s="15" t="n"/>
      <c r="F309" s="15" t="n"/>
      <c r="G309" s="16" t="n"/>
      <c r="H309" s="16" t="n"/>
      <c r="I309" s="16">
        <f>IF(A309="","",SUMIFS('Movimentações'!$E$5:$E$5000,'Movimentações'!$B$5:$B$5000,A309,'Movimentações'!$D$5:$D$5000,"Entrada"))</f>
        <v/>
      </c>
      <c r="J309" s="16">
        <f>IF(A309="","",SUMIFS('Movimentações'!$E$5:$E$5000,'Movimentações'!$B$5:$B$5000,A309,'Movimentações'!$D$5:$D$5000,"Saída"))</f>
        <v/>
      </c>
      <c r="K309" s="16">
        <f>IF(A309="","",G309+I309-J309)</f>
        <v/>
      </c>
      <c r="L309" s="14">
        <f>IF(A309="","",IF(K309&lt;=0,"SEM ESTOQUE",IF(K309&lt;=H309,"REPOR","OK")))</f>
        <v/>
      </c>
      <c r="M309" s="15">
        <f>IF(A309="","",MAX(K309,0)*E309)</f>
        <v/>
      </c>
      <c r="N309" s="16">
        <f>IF(A309="","",IF(K309&lt;=H309,MAX(2*H309-K309,0),0))</f>
        <v/>
      </c>
      <c r="O309" s="17">
        <f>IF(OR(A309="",F309=0,F309=""),"",(F309-E309)/F309)</f>
        <v/>
      </c>
    </row>
    <row r="310">
      <c r="A310" s="14" t="n"/>
      <c r="B310" s="14" t="n"/>
      <c r="C310" s="14" t="n"/>
      <c r="D310" s="14" t="n"/>
      <c r="E310" s="15" t="n"/>
      <c r="F310" s="15" t="n"/>
      <c r="G310" s="16" t="n"/>
      <c r="H310" s="16" t="n"/>
      <c r="I310" s="16">
        <f>IF(A310="","",SUMIFS('Movimentações'!$E$5:$E$5000,'Movimentações'!$B$5:$B$5000,A310,'Movimentações'!$D$5:$D$5000,"Entrada"))</f>
        <v/>
      </c>
      <c r="J310" s="16">
        <f>IF(A310="","",SUMIFS('Movimentações'!$E$5:$E$5000,'Movimentações'!$B$5:$B$5000,A310,'Movimentações'!$D$5:$D$5000,"Saída"))</f>
        <v/>
      </c>
      <c r="K310" s="16">
        <f>IF(A310="","",G310+I310-J310)</f>
        <v/>
      </c>
      <c r="L310" s="14">
        <f>IF(A310="","",IF(K310&lt;=0,"SEM ESTOQUE",IF(K310&lt;=H310,"REPOR","OK")))</f>
        <v/>
      </c>
      <c r="M310" s="15">
        <f>IF(A310="","",MAX(K310,0)*E310)</f>
        <v/>
      </c>
      <c r="N310" s="16">
        <f>IF(A310="","",IF(K310&lt;=H310,MAX(2*H310-K310,0),0))</f>
        <v/>
      </c>
      <c r="O310" s="17">
        <f>IF(OR(A310="",F310=0,F310=""),"",(F310-E310)/F310)</f>
        <v/>
      </c>
    </row>
    <row r="311">
      <c r="A311" s="14" t="n"/>
      <c r="B311" s="14" t="n"/>
      <c r="C311" s="14" t="n"/>
      <c r="D311" s="14" t="n"/>
      <c r="E311" s="15" t="n"/>
      <c r="F311" s="15" t="n"/>
      <c r="G311" s="16" t="n"/>
      <c r="H311" s="16" t="n"/>
      <c r="I311" s="16">
        <f>IF(A311="","",SUMIFS('Movimentações'!$E$5:$E$5000,'Movimentações'!$B$5:$B$5000,A311,'Movimentações'!$D$5:$D$5000,"Entrada"))</f>
        <v/>
      </c>
      <c r="J311" s="16">
        <f>IF(A311="","",SUMIFS('Movimentações'!$E$5:$E$5000,'Movimentações'!$B$5:$B$5000,A311,'Movimentações'!$D$5:$D$5000,"Saída"))</f>
        <v/>
      </c>
      <c r="K311" s="16">
        <f>IF(A311="","",G311+I311-J311)</f>
        <v/>
      </c>
      <c r="L311" s="14">
        <f>IF(A311="","",IF(K311&lt;=0,"SEM ESTOQUE",IF(K311&lt;=H311,"REPOR","OK")))</f>
        <v/>
      </c>
      <c r="M311" s="15">
        <f>IF(A311="","",MAX(K311,0)*E311)</f>
        <v/>
      </c>
      <c r="N311" s="16">
        <f>IF(A311="","",IF(K311&lt;=H311,MAX(2*H311-K311,0),0))</f>
        <v/>
      </c>
      <c r="O311" s="17">
        <f>IF(OR(A311="",F311=0,F311=""),"",(F311-E311)/F311)</f>
        <v/>
      </c>
    </row>
    <row r="312">
      <c r="A312" s="14" t="n"/>
      <c r="B312" s="14" t="n"/>
      <c r="C312" s="14" t="n"/>
      <c r="D312" s="14" t="n"/>
      <c r="E312" s="15" t="n"/>
      <c r="F312" s="15" t="n"/>
      <c r="G312" s="16" t="n"/>
      <c r="H312" s="16" t="n"/>
      <c r="I312" s="16">
        <f>IF(A312="","",SUMIFS('Movimentações'!$E$5:$E$5000,'Movimentações'!$B$5:$B$5000,A312,'Movimentações'!$D$5:$D$5000,"Entrada"))</f>
        <v/>
      </c>
      <c r="J312" s="16">
        <f>IF(A312="","",SUMIFS('Movimentações'!$E$5:$E$5000,'Movimentações'!$B$5:$B$5000,A312,'Movimentações'!$D$5:$D$5000,"Saída"))</f>
        <v/>
      </c>
      <c r="K312" s="16">
        <f>IF(A312="","",G312+I312-J312)</f>
        <v/>
      </c>
      <c r="L312" s="14">
        <f>IF(A312="","",IF(K312&lt;=0,"SEM ESTOQUE",IF(K312&lt;=H312,"REPOR","OK")))</f>
        <v/>
      </c>
      <c r="M312" s="15">
        <f>IF(A312="","",MAX(K312,0)*E312)</f>
        <v/>
      </c>
      <c r="N312" s="16">
        <f>IF(A312="","",IF(K312&lt;=H312,MAX(2*H312-K312,0),0))</f>
        <v/>
      </c>
      <c r="O312" s="17">
        <f>IF(OR(A312="",F312=0,F312=""),"",(F312-E312)/F312)</f>
        <v/>
      </c>
    </row>
    <row r="313">
      <c r="A313" s="14" t="n"/>
      <c r="B313" s="14" t="n"/>
      <c r="C313" s="14" t="n"/>
      <c r="D313" s="14" t="n"/>
      <c r="E313" s="15" t="n"/>
      <c r="F313" s="15" t="n"/>
      <c r="G313" s="16" t="n"/>
      <c r="H313" s="16" t="n"/>
      <c r="I313" s="16">
        <f>IF(A313="","",SUMIFS('Movimentações'!$E$5:$E$5000,'Movimentações'!$B$5:$B$5000,A313,'Movimentações'!$D$5:$D$5000,"Entrada"))</f>
        <v/>
      </c>
      <c r="J313" s="16">
        <f>IF(A313="","",SUMIFS('Movimentações'!$E$5:$E$5000,'Movimentações'!$B$5:$B$5000,A313,'Movimentações'!$D$5:$D$5000,"Saída"))</f>
        <v/>
      </c>
      <c r="K313" s="16">
        <f>IF(A313="","",G313+I313-J313)</f>
        <v/>
      </c>
      <c r="L313" s="14">
        <f>IF(A313="","",IF(K313&lt;=0,"SEM ESTOQUE",IF(K313&lt;=H313,"REPOR","OK")))</f>
        <v/>
      </c>
      <c r="M313" s="15">
        <f>IF(A313="","",MAX(K313,0)*E313)</f>
        <v/>
      </c>
      <c r="N313" s="16">
        <f>IF(A313="","",IF(K313&lt;=H313,MAX(2*H313-K313,0),0))</f>
        <v/>
      </c>
      <c r="O313" s="17">
        <f>IF(OR(A313="",F313=0,F313=""),"",(F313-E313)/F313)</f>
        <v/>
      </c>
    </row>
    <row r="314">
      <c r="A314" s="14" t="n"/>
      <c r="B314" s="14" t="n"/>
      <c r="C314" s="14" t="n"/>
      <c r="D314" s="14" t="n"/>
      <c r="E314" s="15" t="n"/>
      <c r="F314" s="15" t="n"/>
      <c r="G314" s="16" t="n"/>
      <c r="H314" s="16" t="n"/>
      <c r="I314" s="16">
        <f>IF(A314="","",SUMIFS('Movimentações'!$E$5:$E$5000,'Movimentações'!$B$5:$B$5000,A314,'Movimentações'!$D$5:$D$5000,"Entrada"))</f>
        <v/>
      </c>
      <c r="J314" s="16">
        <f>IF(A314="","",SUMIFS('Movimentações'!$E$5:$E$5000,'Movimentações'!$B$5:$B$5000,A314,'Movimentações'!$D$5:$D$5000,"Saída"))</f>
        <v/>
      </c>
      <c r="K314" s="16">
        <f>IF(A314="","",G314+I314-J314)</f>
        <v/>
      </c>
      <c r="L314" s="14">
        <f>IF(A314="","",IF(K314&lt;=0,"SEM ESTOQUE",IF(K314&lt;=H314,"REPOR","OK")))</f>
        <v/>
      </c>
      <c r="M314" s="15">
        <f>IF(A314="","",MAX(K314,0)*E314)</f>
        <v/>
      </c>
      <c r="N314" s="16">
        <f>IF(A314="","",IF(K314&lt;=H314,MAX(2*H314-K314,0),0))</f>
        <v/>
      </c>
      <c r="O314" s="17">
        <f>IF(OR(A314="",F314=0,F314=""),"",(F314-E314)/F314)</f>
        <v/>
      </c>
    </row>
    <row r="315">
      <c r="A315" s="14" t="n"/>
      <c r="B315" s="14" t="n"/>
      <c r="C315" s="14" t="n"/>
      <c r="D315" s="14" t="n"/>
      <c r="E315" s="15" t="n"/>
      <c r="F315" s="15" t="n"/>
      <c r="G315" s="16" t="n"/>
      <c r="H315" s="16" t="n"/>
      <c r="I315" s="16">
        <f>IF(A315="","",SUMIFS('Movimentações'!$E$5:$E$5000,'Movimentações'!$B$5:$B$5000,A315,'Movimentações'!$D$5:$D$5000,"Entrada"))</f>
        <v/>
      </c>
      <c r="J315" s="16">
        <f>IF(A315="","",SUMIFS('Movimentações'!$E$5:$E$5000,'Movimentações'!$B$5:$B$5000,A315,'Movimentações'!$D$5:$D$5000,"Saída"))</f>
        <v/>
      </c>
      <c r="K315" s="16">
        <f>IF(A315="","",G315+I315-J315)</f>
        <v/>
      </c>
      <c r="L315" s="14">
        <f>IF(A315="","",IF(K315&lt;=0,"SEM ESTOQUE",IF(K315&lt;=H315,"REPOR","OK")))</f>
        <v/>
      </c>
      <c r="M315" s="15">
        <f>IF(A315="","",MAX(K315,0)*E315)</f>
        <v/>
      </c>
      <c r="N315" s="16">
        <f>IF(A315="","",IF(K315&lt;=H315,MAX(2*H315-K315,0),0))</f>
        <v/>
      </c>
      <c r="O315" s="17">
        <f>IF(OR(A315="",F315=0,F315=""),"",(F315-E315)/F315)</f>
        <v/>
      </c>
    </row>
    <row r="316">
      <c r="A316" s="14" t="n"/>
      <c r="B316" s="14" t="n"/>
      <c r="C316" s="14" t="n"/>
      <c r="D316" s="14" t="n"/>
      <c r="E316" s="15" t="n"/>
      <c r="F316" s="15" t="n"/>
      <c r="G316" s="16" t="n"/>
      <c r="H316" s="16" t="n"/>
      <c r="I316" s="16">
        <f>IF(A316="","",SUMIFS('Movimentações'!$E$5:$E$5000,'Movimentações'!$B$5:$B$5000,A316,'Movimentações'!$D$5:$D$5000,"Entrada"))</f>
        <v/>
      </c>
      <c r="J316" s="16">
        <f>IF(A316="","",SUMIFS('Movimentações'!$E$5:$E$5000,'Movimentações'!$B$5:$B$5000,A316,'Movimentações'!$D$5:$D$5000,"Saída"))</f>
        <v/>
      </c>
      <c r="K316" s="16">
        <f>IF(A316="","",G316+I316-J316)</f>
        <v/>
      </c>
      <c r="L316" s="14">
        <f>IF(A316="","",IF(K316&lt;=0,"SEM ESTOQUE",IF(K316&lt;=H316,"REPOR","OK")))</f>
        <v/>
      </c>
      <c r="M316" s="15">
        <f>IF(A316="","",MAX(K316,0)*E316)</f>
        <v/>
      </c>
      <c r="N316" s="16">
        <f>IF(A316="","",IF(K316&lt;=H316,MAX(2*H316-K316,0),0))</f>
        <v/>
      </c>
      <c r="O316" s="17">
        <f>IF(OR(A316="",F316=0,F316=""),"",(F316-E316)/F316)</f>
        <v/>
      </c>
    </row>
    <row r="317">
      <c r="A317" s="14" t="n"/>
      <c r="B317" s="14" t="n"/>
      <c r="C317" s="14" t="n"/>
      <c r="D317" s="14" t="n"/>
      <c r="E317" s="15" t="n"/>
      <c r="F317" s="15" t="n"/>
      <c r="G317" s="16" t="n"/>
      <c r="H317" s="16" t="n"/>
      <c r="I317" s="16">
        <f>IF(A317="","",SUMIFS('Movimentações'!$E$5:$E$5000,'Movimentações'!$B$5:$B$5000,A317,'Movimentações'!$D$5:$D$5000,"Entrada"))</f>
        <v/>
      </c>
      <c r="J317" s="16">
        <f>IF(A317="","",SUMIFS('Movimentações'!$E$5:$E$5000,'Movimentações'!$B$5:$B$5000,A317,'Movimentações'!$D$5:$D$5000,"Saída"))</f>
        <v/>
      </c>
      <c r="K317" s="16">
        <f>IF(A317="","",G317+I317-J317)</f>
        <v/>
      </c>
      <c r="L317" s="14">
        <f>IF(A317="","",IF(K317&lt;=0,"SEM ESTOQUE",IF(K317&lt;=H317,"REPOR","OK")))</f>
        <v/>
      </c>
      <c r="M317" s="15">
        <f>IF(A317="","",MAX(K317,0)*E317)</f>
        <v/>
      </c>
      <c r="N317" s="16">
        <f>IF(A317="","",IF(K317&lt;=H317,MAX(2*H317-K317,0),0))</f>
        <v/>
      </c>
      <c r="O317" s="17">
        <f>IF(OR(A317="",F317=0,F317=""),"",(F317-E317)/F317)</f>
        <v/>
      </c>
    </row>
    <row r="318">
      <c r="A318" s="14" t="n"/>
      <c r="B318" s="14" t="n"/>
      <c r="C318" s="14" t="n"/>
      <c r="D318" s="14" t="n"/>
      <c r="E318" s="15" t="n"/>
      <c r="F318" s="15" t="n"/>
      <c r="G318" s="16" t="n"/>
      <c r="H318" s="16" t="n"/>
      <c r="I318" s="16">
        <f>IF(A318="","",SUMIFS('Movimentações'!$E$5:$E$5000,'Movimentações'!$B$5:$B$5000,A318,'Movimentações'!$D$5:$D$5000,"Entrada"))</f>
        <v/>
      </c>
      <c r="J318" s="16">
        <f>IF(A318="","",SUMIFS('Movimentações'!$E$5:$E$5000,'Movimentações'!$B$5:$B$5000,A318,'Movimentações'!$D$5:$D$5000,"Saída"))</f>
        <v/>
      </c>
      <c r="K318" s="16">
        <f>IF(A318="","",G318+I318-J318)</f>
        <v/>
      </c>
      <c r="L318" s="14">
        <f>IF(A318="","",IF(K318&lt;=0,"SEM ESTOQUE",IF(K318&lt;=H318,"REPOR","OK")))</f>
        <v/>
      </c>
      <c r="M318" s="15">
        <f>IF(A318="","",MAX(K318,0)*E318)</f>
        <v/>
      </c>
      <c r="N318" s="16">
        <f>IF(A318="","",IF(K318&lt;=H318,MAX(2*H318-K318,0),0))</f>
        <v/>
      </c>
      <c r="O318" s="17">
        <f>IF(OR(A318="",F318=0,F318=""),"",(F318-E318)/F318)</f>
        <v/>
      </c>
    </row>
    <row r="319">
      <c r="A319" s="14" t="n"/>
      <c r="B319" s="14" t="n"/>
      <c r="C319" s="14" t="n"/>
      <c r="D319" s="14" t="n"/>
      <c r="E319" s="15" t="n"/>
      <c r="F319" s="15" t="n"/>
      <c r="G319" s="16" t="n"/>
      <c r="H319" s="16" t="n"/>
      <c r="I319" s="16">
        <f>IF(A319="","",SUMIFS('Movimentações'!$E$5:$E$5000,'Movimentações'!$B$5:$B$5000,A319,'Movimentações'!$D$5:$D$5000,"Entrada"))</f>
        <v/>
      </c>
      <c r="J319" s="16">
        <f>IF(A319="","",SUMIFS('Movimentações'!$E$5:$E$5000,'Movimentações'!$B$5:$B$5000,A319,'Movimentações'!$D$5:$D$5000,"Saída"))</f>
        <v/>
      </c>
      <c r="K319" s="16">
        <f>IF(A319="","",G319+I319-J319)</f>
        <v/>
      </c>
      <c r="L319" s="14">
        <f>IF(A319="","",IF(K319&lt;=0,"SEM ESTOQUE",IF(K319&lt;=H319,"REPOR","OK")))</f>
        <v/>
      </c>
      <c r="M319" s="15">
        <f>IF(A319="","",MAX(K319,0)*E319)</f>
        <v/>
      </c>
      <c r="N319" s="16">
        <f>IF(A319="","",IF(K319&lt;=H319,MAX(2*H319-K319,0),0))</f>
        <v/>
      </c>
      <c r="O319" s="17">
        <f>IF(OR(A319="",F319=0,F319=""),"",(F319-E319)/F319)</f>
        <v/>
      </c>
    </row>
    <row r="320">
      <c r="A320" s="14" t="n"/>
      <c r="B320" s="14" t="n"/>
      <c r="C320" s="14" t="n"/>
      <c r="D320" s="14" t="n"/>
      <c r="E320" s="15" t="n"/>
      <c r="F320" s="15" t="n"/>
      <c r="G320" s="16" t="n"/>
      <c r="H320" s="16" t="n"/>
      <c r="I320" s="16">
        <f>IF(A320="","",SUMIFS('Movimentações'!$E$5:$E$5000,'Movimentações'!$B$5:$B$5000,A320,'Movimentações'!$D$5:$D$5000,"Entrada"))</f>
        <v/>
      </c>
      <c r="J320" s="16">
        <f>IF(A320="","",SUMIFS('Movimentações'!$E$5:$E$5000,'Movimentações'!$B$5:$B$5000,A320,'Movimentações'!$D$5:$D$5000,"Saída"))</f>
        <v/>
      </c>
      <c r="K320" s="16">
        <f>IF(A320="","",G320+I320-J320)</f>
        <v/>
      </c>
      <c r="L320" s="14">
        <f>IF(A320="","",IF(K320&lt;=0,"SEM ESTOQUE",IF(K320&lt;=H320,"REPOR","OK")))</f>
        <v/>
      </c>
      <c r="M320" s="15">
        <f>IF(A320="","",MAX(K320,0)*E320)</f>
        <v/>
      </c>
      <c r="N320" s="16">
        <f>IF(A320="","",IF(K320&lt;=H320,MAX(2*H320-K320,0),0))</f>
        <v/>
      </c>
      <c r="O320" s="17">
        <f>IF(OR(A320="",F320=0,F320=""),"",(F320-E320)/F320)</f>
        <v/>
      </c>
    </row>
    <row r="321">
      <c r="A321" s="14" t="n"/>
      <c r="B321" s="14" t="n"/>
      <c r="C321" s="14" t="n"/>
      <c r="D321" s="14" t="n"/>
      <c r="E321" s="15" t="n"/>
      <c r="F321" s="15" t="n"/>
      <c r="G321" s="16" t="n"/>
      <c r="H321" s="16" t="n"/>
      <c r="I321" s="16">
        <f>IF(A321="","",SUMIFS('Movimentações'!$E$5:$E$5000,'Movimentações'!$B$5:$B$5000,A321,'Movimentações'!$D$5:$D$5000,"Entrada"))</f>
        <v/>
      </c>
      <c r="J321" s="16">
        <f>IF(A321="","",SUMIFS('Movimentações'!$E$5:$E$5000,'Movimentações'!$B$5:$B$5000,A321,'Movimentações'!$D$5:$D$5000,"Saída"))</f>
        <v/>
      </c>
      <c r="K321" s="16">
        <f>IF(A321="","",G321+I321-J321)</f>
        <v/>
      </c>
      <c r="L321" s="14">
        <f>IF(A321="","",IF(K321&lt;=0,"SEM ESTOQUE",IF(K321&lt;=H321,"REPOR","OK")))</f>
        <v/>
      </c>
      <c r="M321" s="15">
        <f>IF(A321="","",MAX(K321,0)*E321)</f>
        <v/>
      </c>
      <c r="N321" s="16">
        <f>IF(A321="","",IF(K321&lt;=H321,MAX(2*H321-K321,0),0))</f>
        <v/>
      </c>
      <c r="O321" s="17">
        <f>IF(OR(A321="",F321=0,F321=""),"",(F321-E321)/F321)</f>
        <v/>
      </c>
    </row>
    <row r="322">
      <c r="A322" s="14" t="n"/>
      <c r="B322" s="14" t="n"/>
      <c r="C322" s="14" t="n"/>
      <c r="D322" s="14" t="n"/>
      <c r="E322" s="15" t="n"/>
      <c r="F322" s="15" t="n"/>
      <c r="G322" s="16" t="n"/>
      <c r="H322" s="16" t="n"/>
      <c r="I322" s="16">
        <f>IF(A322="","",SUMIFS('Movimentações'!$E$5:$E$5000,'Movimentações'!$B$5:$B$5000,A322,'Movimentações'!$D$5:$D$5000,"Entrada"))</f>
        <v/>
      </c>
      <c r="J322" s="16">
        <f>IF(A322="","",SUMIFS('Movimentações'!$E$5:$E$5000,'Movimentações'!$B$5:$B$5000,A322,'Movimentações'!$D$5:$D$5000,"Saída"))</f>
        <v/>
      </c>
      <c r="K322" s="16">
        <f>IF(A322="","",G322+I322-J322)</f>
        <v/>
      </c>
      <c r="L322" s="14">
        <f>IF(A322="","",IF(K322&lt;=0,"SEM ESTOQUE",IF(K322&lt;=H322,"REPOR","OK")))</f>
        <v/>
      </c>
      <c r="M322" s="15">
        <f>IF(A322="","",MAX(K322,0)*E322)</f>
        <v/>
      </c>
      <c r="N322" s="16">
        <f>IF(A322="","",IF(K322&lt;=H322,MAX(2*H322-K322,0),0))</f>
        <v/>
      </c>
      <c r="O322" s="17">
        <f>IF(OR(A322="",F322=0,F322=""),"",(F322-E322)/F322)</f>
        <v/>
      </c>
    </row>
    <row r="323">
      <c r="A323" s="14" t="n"/>
      <c r="B323" s="14" t="n"/>
      <c r="C323" s="14" t="n"/>
      <c r="D323" s="14" t="n"/>
      <c r="E323" s="15" t="n"/>
      <c r="F323" s="15" t="n"/>
      <c r="G323" s="16" t="n"/>
      <c r="H323" s="16" t="n"/>
      <c r="I323" s="16">
        <f>IF(A323="","",SUMIFS('Movimentações'!$E$5:$E$5000,'Movimentações'!$B$5:$B$5000,A323,'Movimentações'!$D$5:$D$5000,"Entrada"))</f>
        <v/>
      </c>
      <c r="J323" s="16">
        <f>IF(A323="","",SUMIFS('Movimentações'!$E$5:$E$5000,'Movimentações'!$B$5:$B$5000,A323,'Movimentações'!$D$5:$D$5000,"Saída"))</f>
        <v/>
      </c>
      <c r="K323" s="16">
        <f>IF(A323="","",G323+I323-J323)</f>
        <v/>
      </c>
      <c r="L323" s="14">
        <f>IF(A323="","",IF(K323&lt;=0,"SEM ESTOQUE",IF(K323&lt;=H323,"REPOR","OK")))</f>
        <v/>
      </c>
      <c r="M323" s="15">
        <f>IF(A323="","",MAX(K323,0)*E323)</f>
        <v/>
      </c>
      <c r="N323" s="16">
        <f>IF(A323="","",IF(K323&lt;=H323,MAX(2*H323-K323,0),0))</f>
        <v/>
      </c>
      <c r="O323" s="17">
        <f>IF(OR(A323="",F323=0,F323=""),"",(F323-E323)/F323)</f>
        <v/>
      </c>
    </row>
    <row r="324">
      <c r="A324" s="14" t="n"/>
      <c r="B324" s="14" t="n"/>
      <c r="C324" s="14" t="n"/>
      <c r="D324" s="14" t="n"/>
      <c r="E324" s="15" t="n"/>
      <c r="F324" s="15" t="n"/>
      <c r="G324" s="16" t="n"/>
      <c r="H324" s="16" t="n"/>
      <c r="I324" s="16">
        <f>IF(A324="","",SUMIFS('Movimentações'!$E$5:$E$5000,'Movimentações'!$B$5:$B$5000,A324,'Movimentações'!$D$5:$D$5000,"Entrada"))</f>
        <v/>
      </c>
      <c r="J324" s="16">
        <f>IF(A324="","",SUMIFS('Movimentações'!$E$5:$E$5000,'Movimentações'!$B$5:$B$5000,A324,'Movimentações'!$D$5:$D$5000,"Saída"))</f>
        <v/>
      </c>
      <c r="K324" s="16">
        <f>IF(A324="","",G324+I324-J324)</f>
        <v/>
      </c>
      <c r="L324" s="14">
        <f>IF(A324="","",IF(K324&lt;=0,"SEM ESTOQUE",IF(K324&lt;=H324,"REPOR","OK")))</f>
        <v/>
      </c>
      <c r="M324" s="15">
        <f>IF(A324="","",MAX(K324,0)*E324)</f>
        <v/>
      </c>
      <c r="N324" s="16">
        <f>IF(A324="","",IF(K324&lt;=H324,MAX(2*H324-K324,0),0))</f>
        <v/>
      </c>
      <c r="O324" s="17">
        <f>IF(OR(A324="",F324=0,F324=""),"",(F324-E324)/F324)</f>
        <v/>
      </c>
    </row>
    <row r="325">
      <c r="A325" s="14" t="n"/>
      <c r="B325" s="14" t="n"/>
      <c r="C325" s="14" t="n"/>
      <c r="D325" s="14" t="n"/>
      <c r="E325" s="15" t="n"/>
      <c r="F325" s="15" t="n"/>
      <c r="G325" s="16" t="n"/>
      <c r="H325" s="16" t="n"/>
      <c r="I325" s="16">
        <f>IF(A325="","",SUMIFS('Movimentações'!$E$5:$E$5000,'Movimentações'!$B$5:$B$5000,A325,'Movimentações'!$D$5:$D$5000,"Entrada"))</f>
        <v/>
      </c>
      <c r="J325" s="16">
        <f>IF(A325="","",SUMIFS('Movimentações'!$E$5:$E$5000,'Movimentações'!$B$5:$B$5000,A325,'Movimentações'!$D$5:$D$5000,"Saída"))</f>
        <v/>
      </c>
      <c r="K325" s="16">
        <f>IF(A325="","",G325+I325-J325)</f>
        <v/>
      </c>
      <c r="L325" s="14">
        <f>IF(A325="","",IF(K325&lt;=0,"SEM ESTOQUE",IF(K325&lt;=H325,"REPOR","OK")))</f>
        <v/>
      </c>
      <c r="M325" s="15">
        <f>IF(A325="","",MAX(K325,0)*E325)</f>
        <v/>
      </c>
      <c r="N325" s="16">
        <f>IF(A325="","",IF(K325&lt;=H325,MAX(2*H325-K325,0),0))</f>
        <v/>
      </c>
      <c r="O325" s="17">
        <f>IF(OR(A325="",F325=0,F325=""),"",(F325-E325)/F325)</f>
        <v/>
      </c>
    </row>
    <row r="326">
      <c r="A326" s="14" t="n"/>
      <c r="B326" s="14" t="n"/>
      <c r="C326" s="14" t="n"/>
      <c r="D326" s="14" t="n"/>
      <c r="E326" s="15" t="n"/>
      <c r="F326" s="15" t="n"/>
      <c r="G326" s="16" t="n"/>
      <c r="H326" s="16" t="n"/>
      <c r="I326" s="16">
        <f>IF(A326="","",SUMIFS('Movimentações'!$E$5:$E$5000,'Movimentações'!$B$5:$B$5000,A326,'Movimentações'!$D$5:$D$5000,"Entrada"))</f>
        <v/>
      </c>
      <c r="J326" s="16">
        <f>IF(A326="","",SUMIFS('Movimentações'!$E$5:$E$5000,'Movimentações'!$B$5:$B$5000,A326,'Movimentações'!$D$5:$D$5000,"Saída"))</f>
        <v/>
      </c>
      <c r="K326" s="16">
        <f>IF(A326="","",G326+I326-J326)</f>
        <v/>
      </c>
      <c r="L326" s="14">
        <f>IF(A326="","",IF(K326&lt;=0,"SEM ESTOQUE",IF(K326&lt;=H326,"REPOR","OK")))</f>
        <v/>
      </c>
      <c r="M326" s="15">
        <f>IF(A326="","",MAX(K326,0)*E326)</f>
        <v/>
      </c>
      <c r="N326" s="16">
        <f>IF(A326="","",IF(K326&lt;=H326,MAX(2*H326-K326,0),0))</f>
        <v/>
      </c>
      <c r="O326" s="17">
        <f>IF(OR(A326="",F326=0,F326=""),"",(F326-E326)/F326)</f>
        <v/>
      </c>
    </row>
    <row r="327">
      <c r="A327" s="14" t="n"/>
      <c r="B327" s="14" t="n"/>
      <c r="C327" s="14" t="n"/>
      <c r="D327" s="14" t="n"/>
      <c r="E327" s="15" t="n"/>
      <c r="F327" s="15" t="n"/>
      <c r="G327" s="16" t="n"/>
      <c r="H327" s="16" t="n"/>
      <c r="I327" s="16">
        <f>IF(A327="","",SUMIFS('Movimentações'!$E$5:$E$5000,'Movimentações'!$B$5:$B$5000,A327,'Movimentações'!$D$5:$D$5000,"Entrada"))</f>
        <v/>
      </c>
      <c r="J327" s="16">
        <f>IF(A327="","",SUMIFS('Movimentações'!$E$5:$E$5000,'Movimentações'!$B$5:$B$5000,A327,'Movimentações'!$D$5:$D$5000,"Saída"))</f>
        <v/>
      </c>
      <c r="K327" s="16">
        <f>IF(A327="","",G327+I327-J327)</f>
        <v/>
      </c>
      <c r="L327" s="14">
        <f>IF(A327="","",IF(K327&lt;=0,"SEM ESTOQUE",IF(K327&lt;=H327,"REPOR","OK")))</f>
        <v/>
      </c>
      <c r="M327" s="15">
        <f>IF(A327="","",MAX(K327,0)*E327)</f>
        <v/>
      </c>
      <c r="N327" s="16">
        <f>IF(A327="","",IF(K327&lt;=H327,MAX(2*H327-K327,0),0))</f>
        <v/>
      </c>
      <c r="O327" s="17">
        <f>IF(OR(A327="",F327=0,F327=""),"",(F327-E327)/F327)</f>
        <v/>
      </c>
    </row>
    <row r="328">
      <c r="A328" s="14" t="n"/>
      <c r="B328" s="14" t="n"/>
      <c r="C328" s="14" t="n"/>
      <c r="D328" s="14" t="n"/>
      <c r="E328" s="15" t="n"/>
      <c r="F328" s="15" t="n"/>
      <c r="G328" s="16" t="n"/>
      <c r="H328" s="16" t="n"/>
      <c r="I328" s="16">
        <f>IF(A328="","",SUMIFS('Movimentações'!$E$5:$E$5000,'Movimentações'!$B$5:$B$5000,A328,'Movimentações'!$D$5:$D$5000,"Entrada"))</f>
        <v/>
      </c>
      <c r="J328" s="16">
        <f>IF(A328="","",SUMIFS('Movimentações'!$E$5:$E$5000,'Movimentações'!$B$5:$B$5000,A328,'Movimentações'!$D$5:$D$5000,"Saída"))</f>
        <v/>
      </c>
      <c r="K328" s="16">
        <f>IF(A328="","",G328+I328-J328)</f>
        <v/>
      </c>
      <c r="L328" s="14">
        <f>IF(A328="","",IF(K328&lt;=0,"SEM ESTOQUE",IF(K328&lt;=H328,"REPOR","OK")))</f>
        <v/>
      </c>
      <c r="M328" s="15">
        <f>IF(A328="","",MAX(K328,0)*E328)</f>
        <v/>
      </c>
      <c r="N328" s="16">
        <f>IF(A328="","",IF(K328&lt;=H328,MAX(2*H328-K328,0),0))</f>
        <v/>
      </c>
      <c r="O328" s="17">
        <f>IF(OR(A328="",F328=0,F328=""),"",(F328-E328)/F328)</f>
        <v/>
      </c>
    </row>
    <row r="329">
      <c r="A329" s="14" t="n"/>
      <c r="B329" s="14" t="n"/>
      <c r="C329" s="14" t="n"/>
      <c r="D329" s="14" t="n"/>
      <c r="E329" s="15" t="n"/>
      <c r="F329" s="15" t="n"/>
      <c r="G329" s="16" t="n"/>
      <c r="H329" s="16" t="n"/>
      <c r="I329" s="16">
        <f>IF(A329="","",SUMIFS('Movimentações'!$E$5:$E$5000,'Movimentações'!$B$5:$B$5000,A329,'Movimentações'!$D$5:$D$5000,"Entrada"))</f>
        <v/>
      </c>
      <c r="J329" s="16">
        <f>IF(A329="","",SUMIFS('Movimentações'!$E$5:$E$5000,'Movimentações'!$B$5:$B$5000,A329,'Movimentações'!$D$5:$D$5000,"Saída"))</f>
        <v/>
      </c>
      <c r="K329" s="16">
        <f>IF(A329="","",G329+I329-J329)</f>
        <v/>
      </c>
      <c r="L329" s="14">
        <f>IF(A329="","",IF(K329&lt;=0,"SEM ESTOQUE",IF(K329&lt;=H329,"REPOR","OK")))</f>
        <v/>
      </c>
      <c r="M329" s="15">
        <f>IF(A329="","",MAX(K329,0)*E329)</f>
        <v/>
      </c>
      <c r="N329" s="16">
        <f>IF(A329="","",IF(K329&lt;=H329,MAX(2*H329-K329,0),0))</f>
        <v/>
      </c>
      <c r="O329" s="17">
        <f>IF(OR(A329="",F329=0,F329=""),"",(F329-E329)/F329)</f>
        <v/>
      </c>
    </row>
    <row r="330">
      <c r="A330" s="14" t="n"/>
      <c r="B330" s="14" t="n"/>
      <c r="C330" s="14" t="n"/>
      <c r="D330" s="14" t="n"/>
      <c r="E330" s="15" t="n"/>
      <c r="F330" s="15" t="n"/>
      <c r="G330" s="16" t="n"/>
      <c r="H330" s="16" t="n"/>
      <c r="I330" s="16">
        <f>IF(A330="","",SUMIFS('Movimentações'!$E$5:$E$5000,'Movimentações'!$B$5:$B$5000,A330,'Movimentações'!$D$5:$D$5000,"Entrada"))</f>
        <v/>
      </c>
      <c r="J330" s="16">
        <f>IF(A330="","",SUMIFS('Movimentações'!$E$5:$E$5000,'Movimentações'!$B$5:$B$5000,A330,'Movimentações'!$D$5:$D$5000,"Saída"))</f>
        <v/>
      </c>
      <c r="K330" s="16">
        <f>IF(A330="","",G330+I330-J330)</f>
        <v/>
      </c>
      <c r="L330" s="14">
        <f>IF(A330="","",IF(K330&lt;=0,"SEM ESTOQUE",IF(K330&lt;=H330,"REPOR","OK")))</f>
        <v/>
      </c>
      <c r="M330" s="15">
        <f>IF(A330="","",MAX(K330,0)*E330)</f>
        <v/>
      </c>
      <c r="N330" s="16">
        <f>IF(A330="","",IF(K330&lt;=H330,MAX(2*H330-K330,0),0))</f>
        <v/>
      </c>
      <c r="O330" s="17">
        <f>IF(OR(A330="",F330=0,F330=""),"",(F330-E330)/F330)</f>
        <v/>
      </c>
    </row>
    <row r="331">
      <c r="A331" s="14" t="n"/>
      <c r="B331" s="14" t="n"/>
      <c r="C331" s="14" t="n"/>
      <c r="D331" s="14" t="n"/>
      <c r="E331" s="15" t="n"/>
      <c r="F331" s="15" t="n"/>
      <c r="G331" s="16" t="n"/>
      <c r="H331" s="16" t="n"/>
      <c r="I331" s="16">
        <f>IF(A331="","",SUMIFS('Movimentações'!$E$5:$E$5000,'Movimentações'!$B$5:$B$5000,A331,'Movimentações'!$D$5:$D$5000,"Entrada"))</f>
        <v/>
      </c>
      <c r="J331" s="16">
        <f>IF(A331="","",SUMIFS('Movimentações'!$E$5:$E$5000,'Movimentações'!$B$5:$B$5000,A331,'Movimentações'!$D$5:$D$5000,"Saída"))</f>
        <v/>
      </c>
      <c r="K331" s="16">
        <f>IF(A331="","",G331+I331-J331)</f>
        <v/>
      </c>
      <c r="L331" s="14">
        <f>IF(A331="","",IF(K331&lt;=0,"SEM ESTOQUE",IF(K331&lt;=H331,"REPOR","OK")))</f>
        <v/>
      </c>
      <c r="M331" s="15">
        <f>IF(A331="","",MAX(K331,0)*E331)</f>
        <v/>
      </c>
      <c r="N331" s="16">
        <f>IF(A331="","",IF(K331&lt;=H331,MAX(2*H331-K331,0),0))</f>
        <v/>
      </c>
      <c r="O331" s="17">
        <f>IF(OR(A331="",F331=0,F331=""),"",(F331-E331)/F331)</f>
        <v/>
      </c>
    </row>
    <row r="332">
      <c r="A332" s="14" t="n"/>
      <c r="B332" s="14" t="n"/>
      <c r="C332" s="14" t="n"/>
      <c r="D332" s="14" t="n"/>
      <c r="E332" s="15" t="n"/>
      <c r="F332" s="15" t="n"/>
      <c r="G332" s="16" t="n"/>
      <c r="H332" s="16" t="n"/>
      <c r="I332" s="16">
        <f>IF(A332="","",SUMIFS('Movimentações'!$E$5:$E$5000,'Movimentações'!$B$5:$B$5000,A332,'Movimentações'!$D$5:$D$5000,"Entrada"))</f>
        <v/>
      </c>
      <c r="J332" s="16">
        <f>IF(A332="","",SUMIFS('Movimentações'!$E$5:$E$5000,'Movimentações'!$B$5:$B$5000,A332,'Movimentações'!$D$5:$D$5000,"Saída"))</f>
        <v/>
      </c>
      <c r="K332" s="16">
        <f>IF(A332="","",G332+I332-J332)</f>
        <v/>
      </c>
      <c r="L332" s="14">
        <f>IF(A332="","",IF(K332&lt;=0,"SEM ESTOQUE",IF(K332&lt;=H332,"REPOR","OK")))</f>
        <v/>
      </c>
      <c r="M332" s="15">
        <f>IF(A332="","",MAX(K332,0)*E332)</f>
        <v/>
      </c>
      <c r="N332" s="16">
        <f>IF(A332="","",IF(K332&lt;=H332,MAX(2*H332-K332,0),0))</f>
        <v/>
      </c>
      <c r="O332" s="17">
        <f>IF(OR(A332="",F332=0,F332=""),"",(F332-E332)/F332)</f>
        <v/>
      </c>
    </row>
    <row r="333">
      <c r="A333" s="14" t="n"/>
      <c r="B333" s="14" t="n"/>
      <c r="C333" s="14" t="n"/>
      <c r="D333" s="14" t="n"/>
      <c r="E333" s="15" t="n"/>
      <c r="F333" s="15" t="n"/>
      <c r="G333" s="16" t="n"/>
      <c r="H333" s="16" t="n"/>
      <c r="I333" s="16">
        <f>IF(A333="","",SUMIFS('Movimentações'!$E$5:$E$5000,'Movimentações'!$B$5:$B$5000,A333,'Movimentações'!$D$5:$D$5000,"Entrada"))</f>
        <v/>
      </c>
      <c r="J333" s="16">
        <f>IF(A333="","",SUMIFS('Movimentações'!$E$5:$E$5000,'Movimentações'!$B$5:$B$5000,A333,'Movimentações'!$D$5:$D$5000,"Saída"))</f>
        <v/>
      </c>
      <c r="K333" s="16">
        <f>IF(A333="","",G333+I333-J333)</f>
        <v/>
      </c>
      <c r="L333" s="14">
        <f>IF(A333="","",IF(K333&lt;=0,"SEM ESTOQUE",IF(K333&lt;=H333,"REPOR","OK")))</f>
        <v/>
      </c>
      <c r="M333" s="15">
        <f>IF(A333="","",MAX(K333,0)*E333)</f>
        <v/>
      </c>
      <c r="N333" s="16">
        <f>IF(A333="","",IF(K333&lt;=H333,MAX(2*H333-K333,0),0))</f>
        <v/>
      </c>
      <c r="O333" s="17">
        <f>IF(OR(A333="",F333=0,F333=""),"",(F333-E333)/F333)</f>
        <v/>
      </c>
    </row>
    <row r="334">
      <c r="A334" s="14" t="n"/>
      <c r="B334" s="14" t="n"/>
      <c r="C334" s="14" t="n"/>
      <c r="D334" s="14" t="n"/>
      <c r="E334" s="15" t="n"/>
      <c r="F334" s="15" t="n"/>
      <c r="G334" s="16" t="n"/>
      <c r="H334" s="16" t="n"/>
      <c r="I334" s="16">
        <f>IF(A334="","",SUMIFS('Movimentações'!$E$5:$E$5000,'Movimentações'!$B$5:$B$5000,A334,'Movimentações'!$D$5:$D$5000,"Entrada"))</f>
        <v/>
      </c>
      <c r="J334" s="16">
        <f>IF(A334="","",SUMIFS('Movimentações'!$E$5:$E$5000,'Movimentações'!$B$5:$B$5000,A334,'Movimentações'!$D$5:$D$5000,"Saída"))</f>
        <v/>
      </c>
      <c r="K334" s="16">
        <f>IF(A334="","",G334+I334-J334)</f>
        <v/>
      </c>
      <c r="L334" s="14">
        <f>IF(A334="","",IF(K334&lt;=0,"SEM ESTOQUE",IF(K334&lt;=H334,"REPOR","OK")))</f>
        <v/>
      </c>
      <c r="M334" s="15">
        <f>IF(A334="","",MAX(K334,0)*E334)</f>
        <v/>
      </c>
      <c r="N334" s="16">
        <f>IF(A334="","",IF(K334&lt;=H334,MAX(2*H334-K334,0),0))</f>
        <v/>
      </c>
      <c r="O334" s="17">
        <f>IF(OR(A334="",F334=0,F334=""),"",(F334-E334)/F334)</f>
        <v/>
      </c>
    </row>
    <row r="335">
      <c r="A335" s="14" t="n"/>
      <c r="B335" s="14" t="n"/>
      <c r="C335" s="14" t="n"/>
      <c r="D335" s="14" t="n"/>
      <c r="E335" s="15" t="n"/>
      <c r="F335" s="15" t="n"/>
      <c r="G335" s="16" t="n"/>
      <c r="H335" s="16" t="n"/>
      <c r="I335" s="16">
        <f>IF(A335="","",SUMIFS('Movimentações'!$E$5:$E$5000,'Movimentações'!$B$5:$B$5000,A335,'Movimentações'!$D$5:$D$5000,"Entrada"))</f>
        <v/>
      </c>
      <c r="J335" s="16">
        <f>IF(A335="","",SUMIFS('Movimentações'!$E$5:$E$5000,'Movimentações'!$B$5:$B$5000,A335,'Movimentações'!$D$5:$D$5000,"Saída"))</f>
        <v/>
      </c>
      <c r="K335" s="16">
        <f>IF(A335="","",G335+I335-J335)</f>
        <v/>
      </c>
      <c r="L335" s="14">
        <f>IF(A335="","",IF(K335&lt;=0,"SEM ESTOQUE",IF(K335&lt;=H335,"REPOR","OK")))</f>
        <v/>
      </c>
      <c r="M335" s="15">
        <f>IF(A335="","",MAX(K335,0)*E335)</f>
        <v/>
      </c>
      <c r="N335" s="16">
        <f>IF(A335="","",IF(K335&lt;=H335,MAX(2*H335-K335,0),0))</f>
        <v/>
      </c>
      <c r="O335" s="17">
        <f>IF(OR(A335="",F335=0,F335=""),"",(F335-E335)/F335)</f>
        <v/>
      </c>
    </row>
    <row r="336">
      <c r="A336" s="14" t="n"/>
      <c r="B336" s="14" t="n"/>
      <c r="C336" s="14" t="n"/>
      <c r="D336" s="14" t="n"/>
      <c r="E336" s="15" t="n"/>
      <c r="F336" s="15" t="n"/>
      <c r="G336" s="16" t="n"/>
      <c r="H336" s="16" t="n"/>
      <c r="I336" s="16">
        <f>IF(A336="","",SUMIFS('Movimentações'!$E$5:$E$5000,'Movimentações'!$B$5:$B$5000,A336,'Movimentações'!$D$5:$D$5000,"Entrada"))</f>
        <v/>
      </c>
      <c r="J336" s="16">
        <f>IF(A336="","",SUMIFS('Movimentações'!$E$5:$E$5000,'Movimentações'!$B$5:$B$5000,A336,'Movimentações'!$D$5:$D$5000,"Saída"))</f>
        <v/>
      </c>
      <c r="K336" s="16">
        <f>IF(A336="","",G336+I336-J336)</f>
        <v/>
      </c>
      <c r="L336" s="14">
        <f>IF(A336="","",IF(K336&lt;=0,"SEM ESTOQUE",IF(K336&lt;=H336,"REPOR","OK")))</f>
        <v/>
      </c>
      <c r="M336" s="15">
        <f>IF(A336="","",MAX(K336,0)*E336)</f>
        <v/>
      </c>
      <c r="N336" s="16">
        <f>IF(A336="","",IF(K336&lt;=H336,MAX(2*H336-K336,0),0))</f>
        <v/>
      </c>
      <c r="O336" s="17">
        <f>IF(OR(A336="",F336=0,F336=""),"",(F336-E336)/F336)</f>
        <v/>
      </c>
    </row>
    <row r="337">
      <c r="A337" s="14" t="n"/>
      <c r="B337" s="14" t="n"/>
      <c r="C337" s="14" t="n"/>
      <c r="D337" s="14" t="n"/>
      <c r="E337" s="15" t="n"/>
      <c r="F337" s="15" t="n"/>
      <c r="G337" s="16" t="n"/>
      <c r="H337" s="16" t="n"/>
      <c r="I337" s="16">
        <f>IF(A337="","",SUMIFS('Movimentações'!$E$5:$E$5000,'Movimentações'!$B$5:$B$5000,A337,'Movimentações'!$D$5:$D$5000,"Entrada"))</f>
        <v/>
      </c>
      <c r="J337" s="16">
        <f>IF(A337="","",SUMIFS('Movimentações'!$E$5:$E$5000,'Movimentações'!$B$5:$B$5000,A337,'Movimentações'!$D$5:$D$5000,"Saída"))</f>
        <v/>
      </c>
      <c r="K337" s="16">
        <f>IF(A337="","",G337+I337-J337)</f>
        <v/>
      </c>
      <c r="L337" s="14">
        <f>IF(A337="","",IF(K337&lt;=0,"SEM ESTOQUE",IF(K337&lt;=H337,"REPOR","OK")))</f>
        <v/>
      </c>
      <c r="M337" s="15">
        <f>IF(A337="","",MAX(K337,0)*E337)</f>
        <v/>
      </c>
      <c r="N337" s="16">
        <f>IF(A337="","",IF(K337&lt;=H337,MAX(2*H337-K337,0),0))</f>
        <v/>
      </c>
      <c r="O337" s="17">
        <f>IF(OR(A337="",F337=0,F337=""),"",(F337-E337)/F337)</f>
        <v/>
      </c>
    </row>
    <row r="338">
      <c r="A338" s="14" t="n"/>
      <c r="B338" s="14" t="n"/>
      <c r="C338" s="14" t="n"/>
      <c r="D338" s="14" t="n"/>
      <c r="E338" s="15" t="n"/>
      <c r="F338" s="15" t="n"/>
      <c r="G338" s="16" t="n"/>
      <c r="H338" s="16" t="n"/>
      <c r="I338" s="16">
        <f>IF(A338="","",SUMIFS('Movimentações'!$E$5:$E$5000,'Movimentações'!$B$5:$B$5000,A338,'Movimentações'!$D$5:$D$5000,"Entrada"))</f>
        <v/>
      </c>
      <c r="J338" s="16">
        <f>IF(A338="","",SUMIFS('Movimentações'!$E$5:$E$5000,'Movimentações'!$B$5:$B$5000,A338,'Movimentações'!$D$5:$D$5000,"Saída"))</f>
        <v/>
      </c>
      <c r="K338" s="16">
        <f>IF(A338="","",G338+I338-J338)</f>
        <v/>
      </c>
      <c r="L338" s="14">
        <f>IF(A338="","",IF(K338&lt;=0,"SEM ESTOQUE",IF(K338&lt;=H338,"REPOR","OK")))</f>
        <v/>
      </c>
      <c r="M338" s="15">
        <f>IF(A338="","",MAX(K338,0)*E338)</f>
        <v/>
      </c>
      <c r="N338" s="16">
        <f>IF(A338="","",IF(K338&lt;=H338,MAX(2*H338-K338,0),0))</f>
        <v/>
      </c>
      <c r="O338" s="17">
        <f>IF(OR(A338="",F338=0,F338=""),"",(F338-E338)/F338)</f>
        <v/>
      </c>
    </row>
    <row r="339">
      <c r="A339" s="14" t="n"/>
      <c r="B339" s="14" t="n"/>
      <c r="C339" s="14" t="n"/>
      <c r="D339" s="14" t="n"/>
      <c r="E339" s="15" t="n"/>
      <c r="F339" s="15" t="n"/>
      <c r="G339" s="16" t="n"/>
      <c r="H339" s="16" t="n"/>
      <c r="I339" s="16">
        <f>IF(A339="","",SUMIFS('Movimentações'!$E$5:$E$5000,'Movimentações'!$B$5:$B$5000,A339,'Movimentações'!$D$5:$D$5000,"Entrada"))</f>
        <v/>
      </c>
      <c r="J339" s="16">
        <f>IF(A339="","",SUMIFS('Movimentações'!$E$5:$E$5000,'Movimentações'!$B$5:$B$5000,A339,'Movimentações'!$D$5:$D$5000,"Saída"))</f>
        <v/>
      </c>
      <c r="K339" s="16">
        <f>IF(A339="","",G339+I339-J339)</f>
        <v/>
      </c>
      <c r="L339" s="14">
        <f>IF(A339="","",IF(K339&lt;=0,"SEM ESTOQUE",IF(K339&lt;=H339,"REPOR","OK")))</f>
        <v/>
      </c>
      <c r="M339" s="15">
        <f>IF(A339="","",MAX(K339,0)*E339)</f>
        <v/>
      </c>
      <c r="N339" s="16">
        <f>IF(A339="","",IF(K339&lt;=H339,MAX(2*H339-K339,0),0))</f>
        <v/>
      </c>
      <c r="O339" s="17">
        <f>IF(OR(A339="",F339=0,F339=""),"",(F339-E339)/F339)</f>
        <v/>
      </c>
    </row>
    <row r="340">
      <c r="A340" s="14" t="n"/>
      <c r="B340" s="14" t="n"/>
      <c r="C340" s="14" t="n"/>
      <c r="D340" s="14" t="n"/>
      <c r="E340" s="15" t="n"/>
      <c r="F340" s="15" t="n"/>
      <c r="G340" s="16" t="n"/>
      <c r="H340" s="16" t="n"/>
      <c r="I340" s="16">
        <f>IF(A340="","",SUMIFS('Movimentações'!$E$5:$E$5000,'Movimentações'!$B$5:$B$5000,A340,'Movimentações'!$D$5:$D$5000,"Entrada"))</f>
        <v/>
      </c>
      <c r="J340" s="16">
        <f>IF(A340="","",SUMIFS('Movimentações'!$E$5:$E$5000,'Movimentações'!$B$5:$B$5000,A340,'Movimentações'!$D$5:$D$5000,"Saída"))</f>
        <v/>
      </c>
      <c r="K340" s="16">
        <f>IF(A340="","",G340+I340-J340)</f>
        <v/>
      </c>
      <c r="L340" s="14">
        <f>IF(A340="","",IF(K340&lt;=0,"SEM ESTOQUE",IF(K340&lt;=H340,"REPOR","OK")))</f>
        <v/>
      </c>
      <c r="M340" s="15">
        <f>IF(A340="","",MAX(K340,0)*E340)</f>
        <v/>
      </c>
      <c r="N340" s="16">
        <f>IF(A340="","",IF(K340&lt;=H340,MAX(2*H340-K340,0),0))</f>
        <v/>
      </c>
      <c r="O340" s="17">
        <f>IF(OR(A340="",F340=0,F340=""),"",(F340-E340)/F340)</f>
        <v/>
      </c>
    </row>
    <row r="341">
      <c r="A341" s="14" t="n"/>
      <c r="B341" s="14" t="n"/>
      <c r="C341" s="14" t="n"/>
      <c r="D341" s="14" t="n"/>
      <c r="E341" s="15" t="n"/>
      <c r="F341" s="15" t="n"/>
      <c r="G341" s="16" t="n"/>
      <c r="H341" s="16" t="n"/>
      <c r="I341" s="16">
        <f>IF(A341="","",SUMIFS('Movimentações'!$E$5:$E$5000,'Movimentações'!$B$5:$B$5000,A341,'Movimentações'!$D$5:$D$5000,"Entrada"))</f>
        <v/>
      </c>
      <c r="J341" s="16">
        <f>IF(A341="","",SUMIFS('Movimentações'!$E$5:$E$5000,'Movimentações'!$B$5:$B$5000,A341,'Movimentações'!$D$5:$D$5000,"Saída"))</f>
        <v/>
      </c>
      <c r="K341" s="16">
        <f>IF(A341="","",G341+I341-J341)</f>
        <v/>
      </c>
      <c r="L341" s="14">
        <f>IF(A341="","",IF(K341&lt;=0,"SEM ESTOQUE",IF(K341&lt;=H341,"REPOR","OK")))</f>
        <v/>
      </c>
      <c r="M341" s="15">
        <f>IF(A341="","",MAX(K341,0)*E341)</f>
        <v/>
      </c>
      <c r="N341" s="16">
        <f>IF(A341="","",IF(K341&lt;=H341,MAX(2*H341-K341,0),0))</f>
        <v/>
      </c>
      <c r="O341" s="17">
        <f>IF(OR(A341="",F341=0,F341=""),"",(F341-E341)/F341)</f>
        <v/>
      </c>
    </row>
    <row r="342">
      <c r="A342" s="14" t="n"/>
      <c r="B342" s="14" t="n"/>
      <c r="C342" s="14" t="n"/>
      <c r="D342" s="14" t="n"/>
      <c r="E342" s="15" t="n"/>
      <c r="F342" s="15" t="n"/>
      <c r="G342" s="16" t="n"/>
      <c r="H342" s="16" t="n"/>
      <c r="I342" s="16">
        <f>IF(A342="","",SUMIFS('Movimentações'!$E$5:$E$5000,'Movimentações'!$B$5:$B$5000,A342,'Movimentações'!$D$5:$D$5000,"Entrada"))</f>
        <v/>
      </c>
      <c r="J342" s="16">
        <f>IF(A342="","",SUMIFS('Movimentações'!$E$5:$E$5000,'Movimentações'!$B$5:$B$5000,A342,'Movimentações'!$D$5:$D$5000,"Saída"))</f>
        <v/>
      </c>
      <c r="K342" s="16">
        <f>IF(A342="","",G342+I342-J342)</f>
        <v/>
      </c>
      <c r="L342" s="14">
        <f>IF(A342="","",IF(K342&lt;=0,"SEM ESTOQUE",IF(K342&lt;=H342,"REPOR","OK")))</f>
        <v/>
      </c>
      <c r="M342" s="15">
        <f>IF(A342="","",MAX(K342,0)*E342)</f>
        <v/>
      </c>
      <c r="N342" s="16">
        <f>IF(A342="","",IF(K342&lt;=H342,MAX(2*H342-K342,0),0))</f>
        <v/>
      </c>
      <c r="O342" s="17">
        <f>IF(OR(A342="",F342=0,F342=""),"",(F342-E342)/F342)</f>
        <v/>
      </c>
    </row>
    <row r="343">
      <c r="A343" s="14" t="n"/>
      <c r="B343" s="14" t="n"/>
      <c r="C343" s="14" t="n"/>
      <c r="D343" s="14" t="n"/>
      <c r="E343" s="15" t="n"/>
      <c r="F343" s="15" t="n"/>
      <c r="G343" s="16" t="n"/>
      <c r="H343" s="16" t="n"/>
      <c r="I343" s="16">
        <f>IF(A343="","",SUMIFS('Movimentações'!$E$5:$E$5000,'Movimentações'!$B$5:$B$5000,A343,'Movimentações'!$D$5:$D$5000,"Entrada"))</f>
        <v/>
      </c>
      <c r="J343" s="16">
        <f>IF(A343="","",SUMIFS('Movimentações'!$E$5:$E$5000,'Movimentações'!$B$5:$B$5000,A343,'Movimentações'!$D$5:$D$5000,"Saída"))</f>
        <v/>
      </c>
      <c r="K343" s="16">
        <f>IF(A343="","",G343+I343-J343)</f>
        <v/>
      </c>
      <c r="L343" s="14">
        <f>IF(A343="","",IF(K343&lt;=0,"SEM ESTOQUE",IF(K343&lt;=H343,"REPOR","OK")))</f>
        <v/>
      </c>
      <c r="M343" s="15">
        <f>IF(A343="","",MAX(K343,0)*E343)</f>
        <v/>
      </c>
      <c r="N343" s="16">
        <f>IF(A343="","",IF(K343&lt;=H343,MAX(2*H343-K343,0),0))</f>
        <v/>
      </c>
      <c r="O343" s="17">
        <f>IF(OR(A343="",F343=0,F343=""),"",(F343-E343)/F343)</f>
        <v/>
      </c>
    </row>
    <row r="344">
      <c r="A344" s="14" t="n"/>
      <c r="B344" s="14" t="n"/>
      <c r="C344" s="14" t="n"/>
      <c r="D344" s="14" t="n"/>
      <c r="E344" s="15" t="n"/>
      <c r="F344" s="15" t="n"/>
      <c r="G344" s="16" t="n"/>
      <c r="H344" s="16" t="n"/>
      <c r="I344" s="16">
        <f>IF(A344="","",SUMIFS('Movimentações'!$E$5:$E$5000,'Movimentações'!$B$5:$B$5000,A344,'Movimentações'!$D$5:$D$5000,"Entrada"))</f>
        <v/>
      </c>
      <c r="J344" s="16">
        <f>IF(A344="","",SUMIFS('Movimentações'!$E$5:$E$5000,'Movimentações'!$B$5:$B$5000,A344,'Movimentações'!$D$5:$D$5000,"Saída"))</f>
        <v/>
      </c>
      <c r="K344" s="16">
        <f>IF(A344="","",G344+I344-J344)</f>
        <v/>
      </c>
      <c r="L344" s="14">
        <f>IF(A344="","",IF(K344&lt;=0,"SEM ESTOQUE",IF(K344&lt;=H344,"REPOR","OK")))</f>
        <v/>
      </c>
      <c r="M344" s="15">
        <f>IF(A344="","",MAX(K344,0)*E344)</f>
        <v/>
      </c>
      <c r="N344" s="16">
        <f>IF(A344="","",IF(K344&lt;=H344,MAX(2*H344-K344,0),0))</f>
        <v/>
      </c>
      <c r="O344" s="17">
        <f>IF(OR(A344="",F344=0,F344=""),"",(F344-E344)/F344)</f>
        <v/>
      </c>
    </row>
    <row r="345">
      <c r="A345" s="14" t="n"/>
      <c r="B345" s="14" t="n"/>
      <c r="C345" s="14" t="n"/>
      <c r="D345" s="14" t="n"/>
      <c r="E345" s="15" t="n"/>
      <c r="F345" s="15" t="n"/>
      <c r="G345" s="16" t="n"/>
      <c r="H345" s="16" t="n"/>
      <c r="I345" s="16">
        <f>IF(A345="","",SUMIFS('Movimentações'!$E$5:$E$5000,'Movimentações'!$B$5:$B$5000,A345,'Movimentações'!$D$5:$D$5000,"Entrada"))</f>
        <v/>
      </c>
      <c r="J345" s="16">
        <f>IF(A345="","",SUMIFS('Movimentações'!$E$5:$E$5000,'Movimentações'!$B$5:$B$5000,A345,'Movimentações'!$D$5:$D$5000,"Saída"))</f>
        <v/>
      </c>
      <c r="K345" s="16">
        <f>IF(A345="","",G345+I345-J345)</f>
        <v/>
      </c>
      <c r="L345" s="14">
        <f>IF(A345="","",IF(K345&lt;=0,"SEM ESTOQUE",IF(K345&lt;=H345,"REPOR","OK")))</f>
        <v/>
      </c>
      <c r="M345" s="15">
        <f>IF(A345="","",MAX(K345,0)*E345)</f>
        <v/>
      </c>
      <c r="N345" s="16">
        <f>IF(A345="","",IF(K345&lt;=H345,MAX(2*H345-K345,0),0))</f>
        <v/>
      </c>
      <c r="O345" s="17">
        <f>IF(OR(A345="",F345=0,F345=""),"",(F345-E345)/F345)</f>
        <v/>
      </c>
    </row>
    <row r="346">
      <c r="A346" s="14" t="n"/>
      <c r="B346" s="14" t="n"/>
      <c r="C346" s="14" t="n"/>
      <c r="D346" s="14" t="n"/>
      <c r="E346" s="15" t="n"/>
      <c r="F346" s="15" t="n"/>
      <c r="G346" s="16" t="n"/>
      <c r="H346" s="16" t="n"/>
      <c r="I346" s="16">
        <f>IF(A346="","",SUMIFS('Movimentações'!$E$5:$E$5000,'Movimentações'!$B$5:$B$5000,A346,'Movimentações'!$D$5:$D$5000,"Entrada"))</f>
        <v/>
      </c>
      <c r="J346" s="16">
        <f>IF(A346="","",SUMIFS('Movimentações'!$E$5:$E$5000,'Movimentações'!$B$5:$B$5000,A346,'Movimentações'!$D$5:$D$5000,"Saída"))</f>
        <v/>
      </c>
      <c r="K346" s="16">
        <f>IF(A346="","",G346+I346-J346)</f>
        <v/>
      </c>
      <c r="L346" s="14">
        <f>IF(A346="","",IF(K346&lt;=0,"SEM ESTOQUE",IF(K346&lt;=H346,"REPOR","OK")))</f>
        <v/>
      </c>
      <c r="M346" s="15">
        <f>IF(A346="","",MAX(K346,0)*E346)</f>
        <v/>
      </c>
      <c r="N346" s="16">
        <f>IF(A346="","",IF(K346&lt;=H346,MAX(2*H346-K346,0),0))</f>
        <v/>
      </c>
      <c r="O346" s="17">
        <f>IF(OR(A346="",F346=0,F346=""),"",(F346-E346)/F346)</f>
        <v/>
      </c>
    </row>
    <row r="347">
      <c r="A347" s="14" t="n"/>
      <c r="B347" s="14" t="n"/>
      <c r="C347" s="14" t="n"/>
      <c r="D347" s="14" t="n"/>
      <c r="E347" s="15" t="n"/>
      <c r="F347" s="15" t="n"/>
      <c r="G347" s="16" t="n"/>
      <c r="H347" s="16" t="n"/>
      <c r="I347" s="16">
        <f>IF(A347="","",SUMIFS('Movimentações'!$E$5:$E$5000,'Movimentações'!$B$5:$B$5000,A347,'Movimentações'!$D$5:$D$5000,"Entrada"))</f>
        <v/>
      </c>
      <c r="J347" s="16">
        <f>IF(A347="","",SUMIFS('Movimentações'!$E$5:$E$5000,'Movimentações'!$B$5:$B$5000,A347,'Movimentações'!$D$5:$D$5000,"Saída"))</f>
        <v/>
      </c>
      <c r="K347" s="16">
        <f>IF(A347="","",G347+I347-J347)</f>
        <v/>
      </c>
      <c r="L347" s="14">
        <f>IF(A347="","",IF(K347&lt;=0,"SEM ESTOQUE",IF(K347&lt;=H347,"REPOR","OK")))</f>
        <v/>
      </c>
      <c r="M347" s="15">
        <f>IF(A347="","",MAX(K347,0)*E347)</f>
        <v/>
      </c>
      <c r="N347" s="16">
        <f>IF(A347="","",IF(K347&lt;=H347,MAX(2*H347-K347,0),0))</f>
        <v/>
      </c>
      <c r="O347" s="17">
        <f>IF(OR(A347="",F347=0,F347=""),"",(F347-E347)/F347)</f>
        <v/>
      </c>
    </row>
    <row r="348">
      <c r="A348" s="14" t="n"/>
      <c r="B348" s="14" t="n"/>
      <c r="C348" s="14" t="n"/>
      <c r="D348" s="14" t="n"/>
      <c r="E348" s="15" t="n"/>
      <c r="F348" s="15" t="n"/>
      <c r="G348" s="16" t="n"/>
      <c r="H348" s="16" t="n"/>
      <c r="I348" s="16">
        <f>IF(A348="","",SUMIFS('Movimentações'!$E$5:$E$5000,'Movimentações'!$B$5:$B$5000,A348,'Movimentações'!$D$5:$D$5000,"Entrada"))</f>
        <v/>
      </c>
      <c r="J348" s="16">
        <f>IF(A348="","",SUMIFS('Movimentações'!$E$5:$E$5000,'Movimentações'!$B$5:$B$5000,A348,'Movimentações'!$D$5:$D$5000,"Saída"))</f>
        <v/>
      </c>
      <c r="K348" s="16">
        <f>IF(A348="","",G348+I348-J348)</f>
        <v/>
      </c>
      <c r="L348" s="14">
        <f>IF(A348="","",IF(K348&lt;=0,"SEM ESTOQUE",IF(K348&lt;=H348,"REPOR","OK")))</f>
        <v/>
      </c>
      <c r="M348" s="15">
        <f>IF(A348="","",MAX(K348,0)*E348)</f>
        <v/>
      </c>
      <c r="N348" s="16">
        <f>IF(A348="","",IF(K348&lt;=H348,MAX(2*H348-K348,0),0))</f>
        <v/>
      </c>
      <c r="O348" s="17">
        <f>IF(OR(A348="",F348=0,F348=""),"",(F348-E348)/F348)</f>
        <v/>
      </c>
    </row>
    <row r="349">
      <c r="A349" s="14" t="n"/>
      <c r="B349" s="14" t="n"/>
      <c r="C349" s="14" t="n"/>
      <c r="D349" s="14" t="n"/>
      <c r="E349" s="15" t="n"/>
      <c r="F349" s="15" t="n"/>
      <c r="G349" s="16" t="n"/>
      <c r="H349" s="16" t="n"/>
      <c r="I349" s="16">
        <f>IF(A349="","",SUMIFS('Movimentações'!$E$5:$E$5000,'Movimentações'!$B$5:$B$5000,A349,'Movimentações'!$D$5:$D$5000,"Entrada"))</f>
        <v/>
      </c>
      <c r="J349" s="16">
        <f>IF(A349="","",SUMIFS('Movimentações'!$E$5:$E$5000,'Movimentações'!$B$5:$B$5000,A349,'Movimentações'!$D$5:$D$5000,"Saída"))</f>
        <v/>
      </c>
      <c r="K349" s="16">
        <f>IF(A349="","",G349+I349-J349)</f>
        <v/>
      </c>
      <c r="L349" s="14">
        <f>IF(A349="","",IF(K349&lt;=0,"SEM ESTOQUE",IF(K349&lt;=H349,"REPOR","OK")))</f>
        <v/>
      </c>
      <c r="M349" s="15">
        <f>IF(A349="","",MAX(K349,0)*E349)</f>
        <v/>
      </c>
      <c r="N349" s="16">
        <f>IF(A349="","",IF(K349&lt;=H349,MAX(2*H349-K349,0),0))</f>
        <v/>
      </c>
      <c r="O349" s="17">
        <f>IF(OR(A349="",F349=0,F349=""),"",(F349-E349)/F349)</f>
        <v/>
      </c>
    </row>
    <row r="350">
      <c r="A350" s="14" t="n"/>
      <c r="B350" s="14" t="n"/>
      <c r="C350" s="14" t="n"/>
      <c r="D350" s="14" t="n"/>
      <c r="E350" s="15" t="n"/>
      <c r="F350" s="15" t="n"/>
      <c r="G350" s="16" t="n"/>
      <c r="H350" s="16" t="n"/>
      <c r="I350" s="16">
        <f>IF(A350="","",SUMIFS('Movimentações'!$E$5:$E$5000,'Movimentações'!$B$5:$B$5000,A350,'Movimentações'!$D$5:$D$5000,"Entrada"))</f>
        <v/>
      </c>
      <c r="J350" s="16">
        <f>IF(A350="","",SUMIFS('Movimentações'!$E$5:$E$5000,'Movimentações'!$B$5:$B$5000,A350,'Movimentações'!$D$5:$D$5000,"Saída"))</f>
        <v/>
      </c>
      <c r="K350" s="16">
        <f>IF(A350="","",G350+I350-J350)</f>
        <v/>
      </c>
      <c r="L350" s="14">
        <f>IF(A350="","",IF(K350&lt;=0,"SEM ESTOQUE",IF(K350&lt;=H350,"REPOR","OK")))</f>
        <v/>
      </c>
      <c r="M350" s="15">
        <f>IF(A350="","",MAX(K350,0)*E350)</f>
        <v/>
      </c>
      <c r="N350" s="16">
        <f>IF(A350="","",IF(K350&lt;=H350,MAX(2*H350-K350,0),0))</f>
        <v/>
      </c>
      <c r="O350" s="17">
        <f>IF(OR(A350="",F350=0,F350=""),"",(F350-E350)/F350)</f>
        <v/>
      </c>
    </row>
    <row r="351">
      <c r="A351" s="14" t="n"/>
      <c r="B351" s="14" t="n"/>
      <c r="C351" s="14" t="n"/>
      <c r="D351" s="14" t="n"/>
      <c r="E351" s="15" t="n"/>
      <c r="F351" s="15" t="n"/>
      <c r="G351" s="16" t="n"/>
      <c r="H351" s="16" t="n"/>
      <c r="I351" s="16">
        <f>IF(A351="","",SUMIFS('Movimentações'!$E$5:$E$5000,'Movimentações'!$B$5:$B$5000,A351,'Movimentações'!$D$5:$D$5000,"Entrada"))</f>
        <v/>
      </c>
      <c r="J351" s="16">
        <f>IF(A351="","",SUMIFS('Movimentações'!$E$5:$E$5000,'Movimentações'!$B$5:$B$5000,A351,'Movimentações'!$D$5:$D$5000,"Saída"))</f>
        <v/>
      </c>
      <c r="K351" s="16">
        <f>IF(A351="","",G351+I351-J351)</f>
        <v/>
      </c>
      <c r="L351" s="14">
        <f>IF(A351="","",IF(K351&lt;=0,"SEM ESTOQUE",IF(K351&lt;=H351,"REPOR","OK")))</f>
        <v/>
      </c>
      <c r="M351" s="15">
        <f>IF(A351="","",MAX(K351,0)*E351)</f>
        <v/>
      </c>
      <c r="N351" s="16">
        <f>IF(A351="","",IF(K351&lt;=H351,MAX(2*H351-K351,0),0))</f>
        <v/>
      </c>
      <c r="O351" s="17">
        <f>IF(OR(A351="",F351=0,F351=""),"",(F351-E351)/F351)</f>
        <v/>
      </c>
    </row>
    <row r="352">
      <c r="A352" s="14" t="n"/>
      <c r="B352" s="14" t="n"/>
      <c r="C352" s="14" t="n"/>
      <c r="D352" s="14" t="n"/>
      <c r="E352" s="15" t="n"/>
      <c r="F352" s="15" t="n"/>
      <c r="G352" s="16" t="n"/>
      <c r="H352" s="16" t="n"/>
      <c r="I352" s="16">
        <f>IF(A352="","",SUMIFS('Movimentações'!$E$5:$E$5000,'Movimentações'!$B$5:$B$5000,A352,'Movimentações'!$D$5:$D$5000,"Entrada"))</f>
        <v/>
      </c>
      <c r="J352" s="16">
        <f>IF(A352="","",SUMIFS('Movimentações'!$E$5:$E$5000,'Movimentações'!$B$5:$B$5000,A352,'Movimentações'!$D$5:$D$5000,"Saída"))</f>
        <v/>
      </c>
      <c r="K352" s="16">
        <f>IF(A352="","",G352+I352-J352)</f>
        <v/>
      </c>
      <c r="L352" s="14">
        <f>IF(A352="","",IF(K352&lt;=0,"SEM ESTOQUE",IF(K352&lt;=H352,"REPOR","OK")))</f>
        <v/>
      </c>
      <c r="M352" s="15">
        <f>IF(A352="","",MAX(K352,0)*E352)</f>
        <v/>
      </c>
      <c r="N352" s="16">
        <f>IF(A352="","",IF(K352&lt;=H352,MAX(2*H352-K352,0),0))</f>
        <v/>
      </c>
      <c r="O352" s="17">
        <f>IF(OR(A352="",F352=0,F352=""),"",(F352-E352)/F352)</f>
        <v/>
      </c>
    </row>
    <row r="353">
      <c r="A353" s="14" t="n"/>
      <c r="B353" s="14" t="n"/>
      <c r="C353" s="14" t="n"/>
      <c r="D353" s="14" t="n"/>
      <c r="E353" s="15" t="n"/>
      <c r="F353" s="15" t="n"/>
      <c r="G353" s="16" t="n"/>
      <c r="H353" s="16" t="n"/>
      <c r="I353" s="16">
        <f>IF(A353="","",SUMIFS('Movimentações'!$E$5:$E$5000,'Movimentações'!$B$5:$B$5000,A353,'Movimentações'!$D$5:$D$5000,"Entrada"))</f>
        <v/>
      </c>
      <c r="J353" s="16">
        <f>IF(A353="","",SUMIFS('Movimentações'!$E$5:$E$5000,'Movimentações'!$B$5:$B$5000,A353,'Movimentações'!$D$5:$D$5000,"Saída"))</f>
        <v/>
      </c>
      <c r="K353" s="16">
        <f>IF(A353="","",G353+I353-J353)</f>
        <v/>
      </c>
      <c r="L353" s="14">
        <f>IF(A353="","",IF(K353&lt;=0,"SEM ESTOQUE",IF(K353&lt;=H353,"REPOR","OK")))</f>
        <v/>
      </c>
      <c r="M353" s="15">
        <f>IF(A353="","",MAX(K353,0)*E353)</f>
        <v/>
      </c>
      <c r="N353" s="16">
        <f>IF(A353="","",IF(K353&lt;=H353,MAX(2*H353-K353,0),0))</f>
        <v/>
      </c>
      <c r="O353" s="17">
        <f>IF(OR(A353="",F353=0,F353=""),"",(F353-E353)/F353)</f>
        <v/>
      </c>
    </row>
    <row r="354">
      <c r="A354" s="14" t="n"/>
      <c r="B354" s="14" t="n"/>
      <c r="C354" s="14" t="n"/>
      <c r="D354" s="14" t="n"/>
      <c r="E354" s="15" t="n"/>
      <c r="F354" s="15" t="n"/>
      <c r="G354" s="16" t="n"/>
      <c r="H354" s="16" t="n"/>
      <c r="I354" s="16">
        <f>IF(A354="","",SUMIFS('Movimentações'!$E$5:$E$5000,'Movimentações'!$B$5:$B$5000,A354,'Movimentações'!$D$5:$D$5000,"Entrada"))</f>
        <v/>
      </c>
      <c r="J354" s="16">
        <f>IF(A354="","",SUMIFS('Movimentações'!$E$5:$E$5000,'Movimentações'!$B$5:$B$5000,A354,'Movimentações'!$D$5:$D$5000,"Saída"))</f>
        <v/>
      </c>
      <c r="K354" s="16">
        <f>IF(A354="","",G354+I354-J354)</f>
        <v/>
      </c>
      <c r="L354" s="14">
        <f>IF(A354="","",IF(K354&lt;=0,"SEM ESTOQUE",IF(K354&lt;=H354,"REPOR","OK")))</f>
        <v/>
      </c>
      <c r="M354" s="15">
        <f>IF(A354="","",MAX(K354,0)*E354)</f>
        <v/>
      </c>
      <c r="N354" s="16">
        <f>IF(A354="","",IF(K354&lt;=H354,MAX(2*H354-K354,0),0))</f>
        <v/>
      </c>
      <c r="O354" s="17">
        <f>IF(OR(A354="",F354=0,F354=""),"",(F354-E354)/F354)</f>
        <v/>
      </c>
    </row>
    <row r="355">
      <c r="A355" s="14" t="n"/>
      <c r="B355" s="14" t="n"/>
      <c r="C355" s="14" t="n"/>
      <c r="D355" s="14" t="n"/>
      <c r="E355" s="15" t="n"/>
      <c r="F355" s="15" t="n"/>
      <c r="G355" s="16" t="n"/>
      <c r="H355" s="16" t="n"/>
      <c r="I355" s="16">
        <f>IF(A355="","",SUMIFS('Movimentações'!$E$5:$E$5000,'Movimentações'!$B$5:$B$5000,A355,'Movimentações'!$D$5:$D$5000,"Entrada"))</f>
        <v/>
      </c>
      <c r="J355" s="16">
        <f>IF(A355="","",SUMIFS('Movimentações'!$E$5:$E$5000,'Movimentações'!$B$5:$B$5000,A355,'Movimentações'!$D$5:$D$5000,"Saída"))</f>
        <v/>
      </c>
      <c r="K355" s="16">
        <f>IF(A355="","",G355+I355-J355)</f>
        <v/>
      </c>
      <c r="L355" s="14">
        <f>IF(A355="","",IF(K355&lt;=0,"SEM ESTOQUE",IF(K355&lt;=H355,"REPOR","OK")))</f>
        <v/>
      </c>
      <c r="M355" s="15">
        <f>IF(A355="","",MAX(K355,0)*E355)</f>
        <v/>
      </c>
      <c r="N355" s="16">
        <f>IF(A355="","",IF(K355&lt;=H355,MAX(2*H355-K355,0),0))</f>
        <v/>
      </c>
      <c r="O355" s="17">
        <f>IF(OR(A355="",F355=0,F355=""),"",(F355-E355)/F355)</f>
        <v/>
      </c>
    </row>
    <row r="356">
      <c r="A356" s="14" t="n"/>
      <c r="B356" s="14" t="n"/>
      <c r="C356" s="14" t="n"/>
      <c r="D356" s="14" t="n"/>
      <c r="E356" s="15" t="n"/>
      <c r="F356" s="15" t="n"/>
      <c r="G356" s="16" t="n"/>
      <c r="H356" s="16" t="n"/>
      <c r="I356" s="16">
        <f>IF(A356="","",SUMIFS('Movimentações'!$E$5:$E$5000,'Movimentações'!$B$5:$B$5000,A356,'Movimentações'!$D$5:$D$5000,"Entrada"))</f>
        <v/>
      </c>
      <c r="J356" s="16">
        <f>IF(A356="","",SUMIFS('Movimentações'!$E$5:$E$5000,'Movimentações'!$B$5:$B$5000,A356,'Movimentações'!$D$5:$D$5000,"Saída"))</f>
        <v/>
      </c>
      <c r="K356" s="16">
        <f>IF(A356="","",G356+I356-J356)</f>
        <v/>
      </c>
      <c r="L356" s="14">
        <f>IF(A356="","",IF(K356&lt;=0,"SEM ESTOQUE",IF(K356&lt;=H356,"REPOR","OK")))</f>
        <v/>
      </c>
      <c r="M356" s="15">
        <f>IF(A356="","",MAX(K356,0)*E356)</f>
        <v/>
      </c>
      <c r="N356" s="16">
        <f>IF(A356="","",IF(K356&lt;=H356,MAX(2*H356-K356,0),0))</f>
        <v/>
      </c>
      <c r="O356" s="17">
        <f>IF(OR(A356="",F356=0,F356=""),"",(F356-E356)/F356)</f>
        <v/>
      </c>
    </row>
    <row r="357">
      <c r="A357" s="14" t="n"/>
      <c r="B357" s="14" t="n"/>
      <c r="C357" s="14" t="n"/>
      <c r="D357" s="14" t="n"/>
      <c r="E357" s="15" t="n"/>
      <c r="F357" s="15" t="n"/>
      <c r="G357" s="16" t="n"/>
      <c r="H357" s="16" t="n"/>
      <c r="I357" s="16">
        <f>IF(A357="","",SUMIFS('Movimentações'!$E$5:$E$5000,'Movimentações'!$B$5:$B$5000,A357,'Movimentações'!$D$5:$D$5000,"Entrada"))</f>
        <v/>
      </c>
      <c r="J357" s="16">
        <f>IF(A357="","",SUMIFS('Movimentações'!$E$5:$E$5000,'Movimentações'!$B$5:$B$5000,A357,'Movimentações'!$D$5:$D$5000,"Saída"))</f>
        <v/>
      </c>
      <c r="K357" s="16">
        <f>IF(A357="","",G357+I357-J357)</f>
        <v/>
      </c>
      <c r="L357" s="14">
        <f>IF(A357="","",IF(K357&lt;=0,"SEM ESTOQUE",IF(K357&lt;=H357,"REPOR","OK")))</f>
        <v/>
      </c>
      <c r="M357" s="15">
        <f>IF(A357="","",MAX(K357,0)*E357)</f>
        <v/>
      </c>
      <c r="N357" s="16">
        <f>IF(A357="","",IF(K357&lt;=H357,MAX(2*H357-K357,0),0))</f>
        <v/>
      </c>
      <c r="O357" s="17">
        <f>IF(OR(A357="",F357=0,F357=""),"",(F357-E357)/F357)</f>
        <v/>
      </c>
    </row>
    <row r="358">
      <c r="A358" s="14" t="n"/>
      <c r="B358" s="14" t="n"/>
      <c r="C358" s="14" t="n"/>
      <c r="D358" s="14" t="n"/>
      <c r="E358" s="15" t="n"/>
      <c r="F358" s="15" t="n"/>
      <c r="G358" s="16" t="n"/>
      <c r="H358" s="16" t="n"/>
      <c r="I358" s="16">
        <f>IF(A358="","",SUMIFS('Movimentações'!$E$5:$E$5000,'Movimentações'!$B$5:$B$5000,A358,'Movimentações'!$D$5:$D$5000,"Entrada"))</f>
        <v/>
      </c>
      <c r="J358" s="16">
        <f>IF(A358="","",SUMIFS('Movimentações'!$E$5:$E$5000,'Movimentações'!$B$5:$B$5000,A358,'Movimentações'!$D$5:$D$5000,"Saída"))</f>
        <v/>
      </c>
      <c r="K358" s="16">
        <f>IF(A358="","",G358+I358-J358)</f>
        <v/>
      </c>
      <c r="L358" s="14">
        <f>IF(A358="","",IF(K358&lt;=0,"SEM ESTOQUE",IF(K358&lt;=H358,"REPOR","OK")))</f>
        <v/>
      </c>
      <c r="M358" s="15">
        <f>IF(A358="","",MAX(K358,0)*E358)</f>
        <v/>
      </c>
      <c r="N358" s="16">
        <f>IF(A358="","",IF(K358&lt;=H358,MAX(2*H358-K358,0),0))</f>
        <v/>
      </c>
      <c r="O358" s="17">
        <f>IF(OR(A358="",F358=0,F358=""),"",(F358-E358)/F358)</f>
        <v/>
      </c>
    </row>
    <row r="359">
      <c r="A359" s="14" t="n"/>
      <c r="B359" s="14" t="n"/>
      <c r="C359" s="14" t="n"/>
      <c r="D359" s="14" t="n"/>
      <c r="E359" s="15" t="n"/>
      <c r="F359" s="15" t="n"/>
      <c r="G359" s="16" t="n"/>
      <c r="H359" s="16" t="n"/>
      <c r="I359" s="16">
        <f>IF(A359="","",SUMIFS('Movimentações'!$E$5:$E$5000,'Movimentações'!$B$5:$B$5000,A359,'Movimentações'!$D$5:$D$5000,"Entrada"))</f>
        <v/>
      </c>
      <c r="J359" s="16">
        <f>IF(A359="","",SUMIFS('Movimentações'!$E$5:$E$5000,'Movimentações'!$B$5:$B$5000,A359,'Movimentações'!$D$5:$D$5000,"Saída"))</f>
        <v/>
      </c>
      <c r="K359" s="16">
        <f>IF(A359="","",G359+I359-J359)</f>
        <v/>
      </c>
      <c r="L359" s="14">
        <f>IF(A359="","",IF(K359&lt;=0,"SEM ESTOQUE",IF(K359&lt;=H359,"REPOR","OK")))</f>
        <v/>
      </c>
      <c r="M359" s="15">
        <f>IF(A359="","",MAX(K359,0)*E359)</f>
        <v/>
      </c>
      <c r="N359" s="16">
        <f>IF(A359="","",IF(K359&lt;=H359,MAX(2*H359-K359,0),0))</f>
        <v/>
      </c>
      <c r="O359" s="17">
        <f>IF(OR(A359="",F359=0,F359=""),"",(F359-E359)/F359)</f>
        <v/>
      </c>
    </row>
    <row r="360">
      <c r="A360" s="14" t="n"/>
      <c r="B360" s="14" t="n"/>
      <c r="C360" s="14" t="n"/>
      <c r="D360" s="14" t="n"/>
      <c r="E360" s="15" t="n"/>
      <c r="F360" s="15" t="n"/>
      <c r="G360" s="16" t="n"/>
      <c r="H360" s="16" t="n"/>
      <c r="I360" s="16">
        <f>IF(A360="","",SUMIFS('Movimentações'!$E$5:$E$5000,'Movimentações'!$B$5:$B$5000,A360,'Movimentações'!$D$5:$D$5000,"Entrada"))</f>
        <v/>
      </c>
      <c r="J360" s="16">
        <f>IF(A360="","",SUMIFS('Movimentações'!$E$5:$E$5000,'Movimentações'!$B$5:$B$5000,A360,'Movimentações'!$D$5:$D$5000,"Saída"))</f>
        <v/>
      </c>
      <c r="K360" s="16">
        <f>IF(A360="","",G360+I360-J360)</f>
        <v/>
      </c>
      <c r="L360" s="14">
        <f>IF(A360="","",IF(K360&lt;=0,"SEM ESTOQUE",IF(K360&lt;=H360,"REPOR","OK")))</f>
        <v/>
      </c>
      <c r="M360" s="15">
        <f>IF(A360="","",MAX(K360,0)*E360)</f>
        <v/>
      </c>
      <c r="N360" s="16">
        <f>IF(A360="","",IF(K360&lt;=H360,MAX(2*H360-K360,0),0))</f>
        <v/>
      </c>
      <c r="O360" s="17">
        <f>IF(OR(A360="",F360=0,F360=""),"",(F360-E360)/F360)</f>
        <v/>
      </c>
    </row>
    <row r="361">
      <c r="A361" s="14" t="n"/>
      <c r="B361" s="14" t="n"/>
      <c r="C361" s="14" t="n"/>
      <c r="D361" s="14" t="n"/>
      <c r="E361" s="15" t="n"/>
      <c r="F361" s="15" t="n"/>
      <c r="G361" s="16" t="n"/>
      <c r="H361" s="16" t="n"/>
      <c r="I361" s="16">
        <f>IF(A361="","",SUMIFS('Movimentações'!$E$5:$E$5000,'Movimentações'!$B$5:$B$5000,A361,'Movimentações'!$D$5:$D$5000,"Entrada"))</f>
        <v/>
      </c>
      <c r="J361" s="16">
        <f>IF(A361="","",SUMIFS('Movimentações'!$E$5:$E$5000,'Movimentações'!$B$5:$B$5000,A361,'Movimentações'!$D$5:$D$5000,"Saída"))</f>
        <v/>
      </c>
      <c r="K361" s="16">
        <f>IF(A361="","",G361+I361-J361)</f>
        <v/>
      </c>
      <c r="L361" s="14">
        <f>IF(A361="","",IF(K361&lt;=0,"SEM ESTOQUE",IF(K361&lt;=H361,"REPOR","OK")))</f>
        <v/>
      </c>
      <c r="M361" s="15">
        <f>IF(A361="","",MAX(K361,0)*E361)</f>
        <v/>
      </c>
      <c r="N361" s="16">
        <f>IF(A361="","",IF(K361&lt;=H361,MAX(2*H361-K361,0),0))</f>
        <v/>
      </c>
      <c r="O361" s="17">
        <f>IF(OR(A361="",F361=0,F361=""),"",(F361-E361)/F361)</f>
        <v/>
      </c>
    </row>
    <row r="362">
      <c r="A362" s="14" t="n"/>
      <c r="B362" s="14" t="n"/>
      <c r="C362" s="14" t="n"/>
      <c r="D362" s="14" t="n"/>
      <c r="E362" s="15" t="n"/>
      <c r="F362" s="15" t="n"/>
      <c r="G362" s="16" t="n"/>
      <c r="H362" s="16" t="n"/>
      <c r="I362" s="16">
        <f>IF(A362="","",SUMIFS('Movimentações'!$E$5:$E$5000,'Movimentações'!$B$5:$B$5000,A362,'Movimentações'!$D$5:$D$5000,"Entrada"))</f>
        <v/>
      </c>
      <c r="J362" s="16">
        <f>IF(A362="","",SUMIFS('Movimentações'!$E$5:$E$5000,'Movimentações'!$B$5:$B$5000,A362,'Movimentações'!$D$5:$D$5000,"Saída"))</f>
        <v/>
      </c>
      <c r="K362" s="16">
        <f>IF(A362="","",G362+I362-J362)</f>
        <v/>
      </c>
      <c r="L362" s="14">
        <f>IF(A362="","",IF(K362&lt;=0,"SEM ESTOQUE",IF(K362&lt;=H362,"REPOR","OK")))</f>
        <v/>
      </c>
      <c r="M362" s="15">
        <f>IF(A362="","",MAX(K362,0)*E362)</f>
        <v/>
      </c>
      <c r="N362" s="16">
        <f>IF(A362="","",IF(K362&lt;=H362,MAX(2*H362-K362,0),0))</f>
        <v/>
      </c>
      <c r="O362" s="17">
        <f>IF(OR(A362="",F362=0,F362=""),"",(F362-E362)/F362)</f>
        <v/>
      </c>
    </row>
    <row r="363">
      <c r="A363" s="14" t="n"/>
      <c r="B363" s="14" t="n"/>
      <c r="C363" s="14" t="n"/>
      <c r="D363" s="14" t="n"/>
      <c r="E363" s="15" t="n"/>
      <c r="F363" s="15" t="n"/>
      <c r="G363" s="16" t="n"/>
      <c r="H363" s="16" t="n"/>
      <c r="I363" s="16">
        <f>IF(A363="","",SUMIFS('Movimentações'!$E$5:$E$5000,'Movimentações'!$B$5:$B$5000,A363,'Movimentações'!$D$5:$D$5000,"Entrada"))</f>
        <v/>
      </c>
      <c r="J363" s="16">
        <f>IF(A363="","",SUMIFS('Movimentações'!$E$5:$E$5000,'Movimentações'!$B$5:$B$5000,A363,'Movimentações'!$D$5:$D$5000,"Saída"))</f>
        <v/>
      </c>
      <c r="K363" s="16">
        <f>IF(A363="","",G363+I363-J363)</f>
        <v/>
      </c>
      <c r="L363" s="14">
        <f>IF(A363="","",IF(K363&lt;=0,"SEM ESTOQUE",IF(K363&lt;=H363,"REPOR","OK")))</f>
        <v/>
      </c>
      <c r="M363" s="15">
        <f>IF(A363="","",MAX(K363,0)*E363)</f>
        <v/>
      </c>
      <c r="N363" s="16">
        <f>IF(A363="","",IF(K363&lt;=H363,MAX(2*H363-K363,0),0))</f>
        <v/>
      </c>
      <c r="O363" s="17">
        <f>IF(OR(A363="",F363=0,F363=""),"",(F363-E363)/F363)</f>
        <v/>
      </c>
    </row>
    <row r="364">
      <c r="A364" s="14" t="n"/>
      <c r="B364" s="14" t="n"/>
      <c r="C364" s="14" t="n"/>
      <c r="D364" s="14" t="n"/>
      <c r="E364" s="15" t="n"/>
      <c r="F364" s="15" t="n"/>
      <c r="G364" s="16" t="n"/>
      <c r="H364" s="16" t="n"/>
      <c r="I364" s="16">
        <f>IF(A364="","",SUMIFS('Movimentações'!$E$5:$E$5000,'Movimentações'!$B$5:$B$5000,A364,'Movimentações'!$D$5:$D$5000,"Entrada"))</f>
        <v/>
      </c>
      <c r="J364" s="16">
        <f>IF(A364="","",SUMIFS('Movimentações'!$E$5:$E$5000,'Movimentações'!$B$5:$B$5000,A364,'Movimentações'!$D$5:$D$5000,"Saída"))</f>
        <v/>
      </c>
      <c r="K364" s="16">
        <f>IF(A364="","",G364+I364-J364)</f>
        <v/>
      </c>
      <c r="L364" s="14">
        <f>IF(A364="","",IF(K364&lt;=0,"SEM ESTOQUE",IF(K364&lt;=H364,"REPOR","OK")))</f>
        <v/>
      </c>
      <c r="M364" s="15">
        <f>IF(A364="","",MAX(K364,0)*E364)</f>
        <v/>
      </c>
      <c r="N364" s="16">
        <f>IF(A364="","",IF(K364&lt;=H364,MAX(2*H364-K364,0),0))</f>
        <v/>
      </c>
      <c r="O364" s="17">
        <f>IF(OR(A364="",F364=0,F364=""),"",(F364-E364)/F364)</f>
        <v/>
      </c>
    </row>
    <row r="365">
      <c r="A365" s="14" t="n"/>
      <c r="B365" s="14" t="n"/>
      <c r="C365" s="14" t="n"/>
      <c r="D365" s="14" t="n"/>
      <c r="E365" s="15" t="n"/>
      <c r="F365" s="15" t="n"/>
      <c r="G365" s="16" t="n"/>
      <c r="H365" s="16" t="n"/>
      <c r="I365" s="16">
        <f>IF(A365="","",SUMIFS('Movimentações'!$E$5:$E$5000,'Movimentações'!$B$5:$B$5000,A365,'Movimentações'!$D$5:$D$5000,"Entrada"))</f>
        <v/>
      </c>
      <c r="J365" s="16">
        <f>IF(A365="","",SUMIFS('Movimentações'!$E$5:$E$5000,'Movimentações'!$B$5:$B$5000,A365,'Movimentações'!$D$5:$D$5000,"Saída"))</f>
        <v/>
      </c>
      <c r="K365" s="16">
        <f>IF(A365="","",G365+I365-J365)</f>
        <v/>
      </c>
      <c r="L365" s="14">
        <f>IF(A365="","",IF(K365&lt;=0,"SEM ESTOQUE",IF(K365&lt;=H365,"REPOR","OK")))</f>
        <v/>
      </c>
      <c r="M365" s="15">
        <f>IF(A365="","",MAX(K365,0)*E365)</f>
        <v/>
      </c>
      <c r="N365" s="16">
        <f>IF(A365="","",IF(K365&lt;=H365,MAX(2*H365-K365,0),0))</f>
        <v/>
      </c>
      <c r="O365" s="17">
        <f>IF(OR(A365="",F365=0,F365=""),"",(F365-E365)/F365)</f>
        <v/>
      </c>
    </row>
    <row r="366">
      <c r="A366" s="14" t="n"/>
      <c r="B366" s="14" t="n"/>
      <c r="C366" s="14" t="n"/>
      <c r="D366" s="14" t="n"/>
      <c r="E366" s="15" t="n"/>
      <c r="F366" s="15" t="n"/>
      <c r="G366" s="16" t="n"/>
      <c r="H366" s="16" t="n"/>
      <c r="I366" s="16">
        <f>IF(A366="","",SUMIFS('Movimentações'!$E$5:$E$5000,'Movimentações'!$B$5:$B$5000,A366,'Movimentações'!$D$5:$D$5000,"Entrada"))</f>
        <v/>
      </c>
      <c r="J366" s="16">
        <f>IF(A366="","",SUMIFS('Movimentações'!$E$5:$E$5000,'Movimentações'!$B$5:$B$5000,A366,'Movimentações'!$D$5:$D$5000,"Saída"))</f>
        <v/>
      </c>
      <c r="K366" s="16">
        <f>IF(A366="","",G366+I366-J366)</f>
        <v/>
      </c>
      <c r="L366" s="14">
        <f>IF(A366="","",IF(K366&lt;=0,"SEM ESTOQUE",IF(K366&lt;=H366,"REPOR","OK")))</f>
        <v/>
      </c>
      <c r="M366" s="15">
        <f>IF(A366="","",MAX(K366,0)*E366)</f>
        <v/>
      </c>
      <c r="N366" s="16">
        <f>IF(A366="","",IF(K366&lt;=H366,MAX(2*H366-K366,0),0))</f>
        <v/>
      </c>
      <c r="O366" s="17">
        <f>IF(OR(A366="",F366=0,F366=""),"",(F366-E366)/F366)</f>
        <v/>
      </c>
    </row>
    <row r="367">
      <c r="A367" s="14" t="n"/>
      <c r="B367" s="14" t="n"/>
      <c r="C367" s="14" t="n"/>
      <c r="D367" s="14" t="n"/>
      <c r="E367" s="15" t="n"/>
      <c r="F367" s="15" t="n"/>
      <c r="G367" s="16" t="n"/>
      <c r="H367" s="16" t="n"/>
      <c r="I367" s="16">
        <f>IF(A367="","",SUMIFS('Movimentações'!$E$5:$E$5000,'Movimentações'!$B$5:$B$5000,A367,'Movimentações'!$D$5:$D$5000,"Entrada"))</f>
        <v/>
      </c>
      <c r="J367" s="16">
        <f>IF(A367="","",SUMIFS('Movimentações'!$E$5:$E$5000,'Movimentações'!$B$5:$B$5000,A367,'Movimentações'!$D$5:$D$5000,"Saída"))</f>
        <v/>
      </c>
      <c r="K367" s="16">
        <f>IF(A367="","",G367+I367-J367)</f>
        <v/>
      </c>
      <c r="L367" s="14">
        <f>IF(A367="","",IF(K367&lt;=0,"SEM ESTOQUE",IF(K367&lt;=H367,"REPOR","OK")))</f>
        <v/>
      </c>
      <c r="M367" s="15">
        <f>IF(A367="","",MAX(K367,0)*E367)</f>
        <v/>
      </c>
      <c r="N367" s="16">
        <f>IF(A367="","",IF(K367&lt;=H367,MAX(2*H367-K367,0),0))</f>
        <v/>
      </c>
      <c r="O367" s="17">
        <f>IF(OR(A367="",F367=0,F367=""),"",(F367-E367)/F367)</f>
        <v/>
      </c>
    </row>
    <row r="368">
      <c r="A368" s="14" t="n"/>
      <c r="B368" s="14" t="n"/>
      <c r="C368" s="14" t="n"/>
      <c r="D368" s="14" t="n"/>
      <c r="E368" s="15" t="n"/>
      <c r="F368" s="15" t="n"/>
      <c r="G368" s="16" t="n"/>
      <c r="H368" s="16" t="n"/>
      <c r="I368" s="16">
        <f>IF(A368="","",SUMIFS('Movimentações'!$E$5:$E$5000,'Movimentações'!$B$5:$B$5000,A368,'Movimentações'!$D$5:$D$5000,"Entrada"))</f>
        <v/>
      </c>
      <c r="J368" s="16">
        <f>IF(A368="","",SUMIFS('Movimentações'!$E$5:$E$5000,'Movimentações'!$B$5:$B$5000,A368,'Movimentações'!$D$5:$D$5000,"Saída"))</f>
        <v/>
      </c>
      <c r="K368" s="16">
        <f>IF(A368="","",G368+I368-J368)</f>
        <v/>
      </c>
      <c r="L368" s="14">
        <f>IF(A368="","",IF(K368&lt;=0,"SEM ESTOQUE",IF(K368&lt;=H368,"REPOR","OK")))</f>
        <v/>
      </c>
      <c r="M368" s="15">
        <f>IF(A368="","",MAX(K368,0)*E368)</f>
        <v/>
      </c>
      <c r="N368" s="16">
        <f>IF(A368="","",IF(K368&lt;=H368,MAX(2*H368-K368,0),0))</f>
        <v/>
      </c>
      <c r="O368" s="17">
        <f>IF(OR(A368="",F368=0,F368=""),"",(F368-E368)/F368)</f>
        <v/>
      </c>
    </row>
    <row r="369">
      <c r="A369" s="14" t="n"/>
      <c r="B369" s="14" t="n"/>
      <c r="C369" s="14" t="n"/>
      <c r="D369" s="14" t="n"/>
      <c r="E369" s="15" t="n"/>
      <c r="F369" s="15" t="n"/>
      <c r="G369" s="16" t="n"/>
      <c r="H369" s="16" t="n"/>
      <c r="I369" s="16">
        <f>IF(A369="","",SUMIFS('Movimentações'!$E$5:$E$5000,'Movimentações'!$B$5:$B$5000,A369,'Movimentações'!$D$5:$D$5000,"Entrada"))</f>
        <v/>
      </c>
      <c r="J369" s="16">
        <f>IF(A369="","",SUMIFS('Movimentações'!$E$5:$E$5000,'Movimentações'!$B$5:$B$5000,A369,'Movimentações'!$D$5:$D$5000,"Saída"))</f>
        <v/>
      </c>
      <c r="K369" s="16">
        <f>IF(A369="","",G369+I369-J369)</f>
        <v/>
      </c>
      <c r="L369" s="14">
        <f>IF(A369="","",IF(K369&lt;=0,"SEM ESTOQUE",IF(K369&lt;=H369,"REPOR","OK")))</f>
        <v/>
      </c>
      <c r="M369" s="15">
        <f>IF(A369="","",MAX(K369,0)*E369)</f>
        <v/>
      </c>
      <c r="N369" s="16">
        <f>IF(A369="","",IF(K369&lt;=H369,MAX(2*H369-K369,0),0))</f>
        <v/>
      </c>
      <c r="O369" s="17">
        <f>IF(OR(A369="",F369=0,F369=""),"",(F369-E369)/F369)</f>
        <v/>
      </c>
    </row>
    <row r="370">
      <c r="A370" s="14" t="n"/>
      <c r="B370" s="14" t="n"/>
      <c r="C370" s="14" t="n"/>
      <c r="D370" s="14" t="n"/>
      <c r="E370" s="15" t="n"/>
      <c r="F370" s="15" t="n"/>
      <c r="G370" s="16" t="n"/>
      <c r="H370" s="16" t="n"/>
      <c r="I370" s="16">
        <f>IF(A370="","",SUMIFS('Movimentações'!$E$5:$E$5000,'Movimentações'!$B$5:$B$5000,A370,'Movimentações'!$D$5:$D$5000,"Entrada"))</f>
        <v/>
      </c>
      <c r="J370" s="16">
        <f>IF(A370="","",SUMIFS('Movimentações'!$E$5:$E$5000,'Movimentações'!$B$5:$B$5000,A370,'Movimentações'!$D$5:$D$5000,"Saída"))</f>
        <v/>
      </c>
      <c r="K370" s="16">
        <f>IF(A370="","",G370+I370-J370)</f>
        <v/>
      </c>
      <c r="L370" s="14">
        <f>IF(A370="","",IF(K370&lt;=0,"SEM ESTOQUE",IF(K370&lt;=H370,"REPOR","OK")))</f>
        <v/>
      </c>
      <c r="M370" s="15">
        <f>IF(A370="","",MAX(K370,0)*E370)</f>
        <v/>
      </c>
      <c r="N370" s="16">
        <f>IF(A370="","",IF(K370&lt;=H370,MAX(2*H370-K370,0),0))</f>
        <v/>
      </c>
      <c r="O370" s="17">
        <f>IF(OR(A370="",F370=0,F370=""),"",(F370-E370)/F370)</f>
        <v/>
      </c>
    </row>
    <row r="371">
      <c r="A371" s="14" t="n"/>
      <c r="B371" s="14" t="n"/>
      <c r="C371" s="14" t="n"/>
      <c r="D371" s="14" t="n"/>
      <c r="E371" s="15" t="n"/>
      <c r="F371" s="15" t="n"/>
      <c r="G371" s="16" t="n"/>
      <c r="H371" s="16" t="n"/>
      <c r="I371" s="16">
        <f>IF(A371="","",SUMIFS('Movimentações'!$E$5:$E$5000,'Movimentações'!$B$5:$B$5000,A371,'Movimentações'!$D$5:$D$5000,"Entrada"))</f>
        <v/>
      </c>
      <c r="J371" s="16">
        <f>IF(A371="","",SUMIFS('Movimentações'!$E$5:$E$5000,'Movimentações'!$B$5:$B$5000,A371,'Movimentações'!$D$5:$D$5000,"Saída"))</f>
        <v/>
      </c>
      <c r="K371" s="16">
        <f>IF(A371="","",G371+I371-J371)</f>
        <v/>
      </c>
      <c r="L371" s="14">
        <f>IF(A371="","",IF(K371&lt;=0,"SEM ESTOQUE",IF(K371&lt;=H371,"REPOR","OK")))</f>
        <v/>
      </c>
      <c r="M371" s="15">
        <f>IF(A371="","",MAX(K371,0)*E371)</f>
        <v/>
      </c>
      <c r="N371" s="16">
        <f>IF(A371="","",IF(K371&lt;=H371,MAX(2*H371-K371,0),0))</f>
        <v/>
      </c>
      <c r="O371" s="17">
        <f>IF(OR(A371="",F371=0,F371=""),"",(F371-E371)/F371)</f>
        <v/>
      </c>
    </row>
    <row r="372">
      <c r="A372" s="14" t="n"/>
      <c r="B372" s="14" t="n"/>
      <c r="C372" s="14" t="n"/>
      <c r="D372" s="14" t="n"/>
      <c r="E372" s="15" t="n"/>
      <c r="F372" s="15" t="n"/>
      <c r="G372" s="16" t="n"/>
      <c r="H372" s="16" t="n"/>
      <c r="I372" s="16">
        <f>IF(A372="","",SUMIFS('Movimentações'!$E$5:$E$5000,'Movimentações'!$B$5:$B$5000,A372,'Movimentações'!$D$5:$D$5000,"Entrada"))</f>
        <v/>
      </c>
      <c r="J372" s="16">
        <f>IF(A372="","",SUMIFS('Movimentações'!$E$5:$E$5000,'Movimentações'!$B$5:$B$5000,A372,'Movimentações'!$D$5:$D$5000,"Saída"))</f>
        <v/>
      </c>
      <c r="K372" s="16">
        <f>IF(A372="","",G372+I372-J372)</f>
        <v/>
      </c>
      <c r="L372" s="14">
        <f>IF(A372="","",IF(K372&lt;=0,"SEM ESTOQUE",IF(K372&lt;=H372,"REPOR","OK")))</f>
        <v/>
      </c>
      <c r="M372" s="15">
        <f>IF(A372="","",MAX(K372,0)*E372)</f>
        <v/>
      </c>
      <c r="N372" s="16">
        <f>IF(A372="","",IF(K372&lt;=H372,MAX(2*H372-K372,0),0))</f>
        <v/>
      </c>
      <c r="O372" s="17">
        <f>IF(OR(A372="",F372=0,F372=""),"",(F372-E372)/F372)</f>
        <v/>
      </c>
    </row>
    <row r="373">
      <c r="A373" s="14" t="n"/>
      <c r="B373" s="14" t="n"/>
      <c r="C373" s="14" t="n"/>
      <c r="D373" s="14" t="n"/>
      <c r="E373" s="15" t="n"/>
      <c r="F373" s="15" t="n"/>
      <c r="G373" s="16" t="n"/>
      <c r="H373" s="16" t="n"/>
      <c r="I373" s="16">
        <f>IF(A373="","",SUMIFS('Movimentações'!$E$5:$E$5000,'Movimentações'!$B$5:$B$5000,A373,'Movimentações'!$D$5:$D$5000,"Entrada"))</f>
        <v/>
      </c>
      <c r="J373" s="16">
        <f>IF(A373="","",SUMIFS('Movimentações'!$E$5:$E$5000,'Movimentações'!$B$5:$B$5000,A373,'Movimentações'!$D$5:$D$5000,"Saída"))</f>
        <v/>
      </c>
      <c r="K373" s="16">
        <f>IF(A373="","",G373+I373-J373)</f>
        <v/>
      </c>
      <c r="L373" s="14">
        <f>IF(A373="","",IF(K373&lt;=0,"SEM ESTOQUE",IF(K373&lt;=H373,"REPOR","OK")))</f>
        <v/>
      </c>
      <c r="M373" s="15">
        <f>IF(A373="","",MAX(K373,0)*E373)</f>
        <v/>
      </c>
      <c r="N373" s="16">
        <f>IF(A373="","",IF(K373&lt;=H373,MAX(2*H373-K373,0),0))</f>
        <v/>
      </c>
      <c r="O373" s="17">
        <f>IF(OR(A373="",F373=0,F373=""),"",(F373-E373)/F373)</f>
        <v/>
      </c>
    </row>
    <row r="374">
      <c r="A374" s="14" t="n"/>
      <c r="B374" s="14" t="n"/>
      <c r="C374" s="14" t="n"/>
      <c r="D374" s="14" t="n"/>
      <c r="E374" s="15" t="n"/>
      <c r="F374" s="15" t="n"/>
      <c r="G374" s="16" t="n"/>
      <c r="H374" s="16" t="n"/>
      <c r="I374" s="16">
        <f>IF(A374="","",SUMIFS('Movimentações'!$E$5:$E$5000,'Movimentações'!$B$5:$B$5000,A374,'Movimentações'!$D$5:$D$5000,"Entrada"))</f>
        <v/>
      </c>
      <c r="J374" s="16">
        <f>IF(A374="","",SUMIFS('Movimentações'!$E$5:$E$5000,'Movimentações'!$B$5:$B$5000,A374,'Movimentações'!$D$5:$D$5000,"Saída"))</f>
        <v/>
      </c>
      <c r="K374" s="16">
        <f>IF(A374="","",G374+I374-J374)</f>
        <v/>
      </c>
      <c r="L374" s="14">
        <f>IF(A374="","",IF(K374&lt;=0,"SEM ESTOQUE",IF(K374&lt;=H374,"REPOR","OK")))</f>
        <v/>
      </c>
      <c r="M374" s="15">
        <f>IF(A374="","",MAX(K374,0)*E374)</f>
        <v/>
      </c>
      <c r="N374" s="16">
        <f>IF(A374="","",IF(K374&lt;=H374,MAX(2*H374-K374,0),0))</f>
        <v/>
      </c>
      <c r="O374" s="17">
        <f>IF(OR(A374="",F374=0,F374=""),"",(F374-E374)/F374)</f>
        <v/>
      </c>
    </row>
    <row r="375">
      <c r="A375" s="14" t="n"/>
      <c r="B375" s="14" t="n"/>
      <c r="C375" s="14" t="n"/>
      <c r="D375" s="14" t="n"/>
      <c r="E375" s="15" t="n"/>
      <c r="F375" s="15" t="n"/>
      <c r="G375" s="16" t="n"/>
      <c r="H375" s="16" t="n"/>
      <c r="I375" s="16">
        <f>IF(A375="","",SUMIFS('Movimentações'!$E$5:$E$5000,'Movimentações'!$B$5:$B$5000,A375,'Movimentações'!$D$5:$D$5000,"Entrada"))</f>
        <v/>
      </c>
      <c r="J375" s="16">
        <f>IF(A375="","",SUMIFS('Movimentações'!$E$5:$E$5000,'Movimentações'!$B$5:$B$5000,A375,'Movimentações'!$D$5:$D$5000,"Saída"))</f>
        <v/>
      </c>
      <c r="K375" s="16">
        <f>IF(A375="","",G375+I375-J375)</f>
        <v/>
      </c>
      <c r="L375" s="14">
        <f>IF(A375="","",IF(K375&lt;=0,"SEM ESTOQUE",IF(K375&lt;=H375,"REPOR","OK")))</f>
        <v/>
      </c>
      <c r="M375" s="15">
        <f>IF(A375="","",MAX(K375,0)*E375)</f>
        <v/>
      </c>
      <c r="N375" s="16">
        <f>IF(A375="","",IF(K375&lt;=H375,MAX(2*H375-K375,0),0))</f>
        <v/>
      </c>
      <c r="O375" s="17">
        <f>IF(OR(A375="",F375=0,F375=""),"",(F375-E375)/F375)</f>
        <v/>
      </c>
    </row>
    <row r="376">
      <c r="A376" s="14" t="n"/>
      <c r="B376" s="14" t="n"/>
      <c r="C376" s="14" t="n"/>
      <c r="D376" s="14" t="n"/>
      <c r="E376" s="15" t="n"/>
      <c r="F376" s="15" t="n"/>
      <c r="G376" s="16" t="n"/>
      <c r="H376" s="16" t="n"/>
      <c r="I376" s="16">
        <f>IF(A376="","",SUMIFS('Movimentações'!$E$5:$E$5000,'Movimentações'!$B$5:$B$5000,A376,'Movimentações'!$D$5:$D$5000,"Entrada"))</f>
        <v/>
      </c>
      <c r="J376" s="16">
        <f>IF(A376="","",SUMIFS('Movimentações'!$E$5:$E$5000,'Movimentações'!$B$5:$B$5000,A376,'Movimentações'!$D$5:$D$5000,"Saída"))</f>
        <v/>
      </c>
      <c r="K376" s="16">
        <f>IF(A376="","",G376+I376-J376)</f>
        <v/>
      </c>
      <c r="L376" s="14">
        <f>IF(A376="","",IF(K376&lt;=0,"SEM ESTOQUE",IF(K376&lt;=H376,"REPOR","OK")))</f>
        <v/>
      </c>
      <c r="M376" s="15">
        <f>IF(A376="","",MAX(K376,0)*E376)</f>
        <v/>
      </c>
      <c r="N376" s="16">
        <f>IF(A376="","",IF(K376&lt;=H376,MAX(2*H376-K376,0),0))</f>
        <v/>
      </c>
      <c r="O376" s="17">
        <f>IF(OR(A376="",F376=0,F376=""),"",(F376-E376)/F376)</f>
        <v/>
      </c>
    </row>
    <row r="377">
      <c r="A377" s="14" t="n"/>
      <c r="B377" s="14" t="n"/>
      <c r="C377" s="14" t="n"/>
      <c r="D377" s="14" t="n"/>
      <c r="E377" s="15" t="n"/>
      <c r="F377" s="15" t="n"/>
      <c r="G377" s="16" t="n"/>
      <c r="H377" s="16" t="n"/>
      <c r="I377" s="16">
        <f>IF(A377="","",SUMIFS('Movimentações'!$E$5:$E$5000,'Movimentações'!$B$5:$B$5000,A377,'Movimentações'!$D$5:$D$5000,"Entrada"))</f>
        <v/>
      </c>
      <c r="J377" s="16">
        <f>IF(A377="","",SUMIFS('Movimentações'!$E$5:$E$5000,'Movimentações'!$B$5:$B$5000,A377,'Movimentações'!$D$5:$D$5000,"Saída"))</f>
        <v/>
      </c>
      <c r="K377" s="16">
        <f>IF(A377="","",G377+I377-J377)</f>
        <v/>
      </c>
      <c r="L377" s="14">
        <f>IF(A377="","",IF(K377&lt;=0,"SEM ESTOQUE",IF(K377&lt;=H377,"REPOR","OK")))</f>
        <v/>
      </c>
      <c r="M377" s="15">
        <f>IF(A377="","",MAX(K377,0)*E377)</f>
        <v/>
      </c>
      <c r="N377" s="16">
        <f>IF(A377="","",IF(K377&lt;=H377,MAX(2*H377-K377,0),0))</f>
        <v/>
      </c>
      <c r="O377" s="17">
        <f>IF(OR(A377="",F377=0,F377=""),"",(F377-E377)/F377)</f>
        <v/>
      </c>
    </row>
    <row r="378">
      <c r="A378" s="14" t="n"/>
      <c r="B378" s="14" t="n"/>
      <c r="C378" s="14" t="n"/>
      <c r="D378" s="14" t="n"/>
      <c r="E378" s="15" t="n"/>
      <c r="F378" s="15" t="n"/>
      <c r="G378" s="16" t="n"/>
      <c r="H378" s="16" t="n"/>
      <c r="I378" s="16">
        <f>IF(A378="","",SUMIFS('Movimentações'!$E$5:$E$5000,'Movimentações'!$B$5:$B$5000,A378,'Movimentações'!$D$5:$D$5000,"Entrada"))</f>
        <v/>
      </c>
      <c r="J378" s="16">
        <f>IF(A378="","",SUMIFS('Movimentações'!$E$5:$E$5000,'Movimentações'!$B$5:$B$5000,A378,'Movimentações'!$D$5:$D$5000,"Saída"))</f>
        <v/>
      </c>
      <c r="K378" s="16">
        <f>IF(A378="","",G378+I378-J378)</f>
        <v/>
      </c>
      <c r="L378" s="14">
        <f>IF(A378="","",IF(K378&lt;=0,"SEM ESTOQUE",IF(K378&lt;=H378,"REPOR","OK")))</f>
        <v/>
      </c>
      <c r="M378" s="15">
        <f>IF(A378="","",MAX(K378,0)*E378)</f>
        <v/>
      </c>
      <c r="N378" s="16">
        <f>IF(A378="","",IF(K378&lt;=H378,MAX(2*H378-K378,0),0))</f>
        <v/>
      </c>
      <c r="O378" s="17">
        <f>IF(OR(A378="",F378=0,F378=""),"",(F378-E378)/F378)</f>
        <v/>
      </c>
    </row>
    <row r="379">
      <c r="A379" s="14" t="n"/>
      <c r="B379" s="14" t="n"/>
      <c r="C379" s="14" t="n"/>
      <c r="D379" s="14" t="n"/>
      <c r="E379" s="15" t="n"/>
      <c r="F379" s="15" t="n"/>
      <c r="G379" s="16" t="n"/>
      <c r="H379" s="16" t="n"/>
      <c r="I379" s="16">
        <f>IF(A379="","",SUMIFS('Movimentações'!$E$5:$E$5000,'Movimentações'!$B$5:$B$5000,A379,'Movimentações'!$D$5:$D$5000,"Entrada"))</f>
        <v/>
      </c>
      <c r="J379" s="16">
        <f>IF(A379="","",SUMIFS('Movimentações'!$E$5:$E$5000,'Movimentações'!$B$5:$B$5000,A379,'Movimentações'!$D$5:$D$5000,"Saída"))</f>
        <v/>
      </c>
      <c r="K379" s="16">
        <f>IF(A379="","",G379+I379-J379)</f>
        <v/>
      </c>
      <c r="L379" s="14">
        <f>IF(A379="","",IF(K379&lt;=0,"SEM ESTOQUE",IF(K379&lt;=H379,"REPOR","OK")))</f>
        <v/>
      </c>
      <c r="M379" s="15">
        <f>IF(A379="","",MAX(K379,0)*E379)</f>
        <v/>
      </c>
      <c r="N379" s="16">
        <f>IF(A379="","",IF(K379&lt;=H379,MAX(2*H379-K379,0),0))</f>
        <v/>
      </c>
      <c r="O379" s="17">
        <f>IF(OR(A379="",F379=0,F379=""),"",(F379-E379)/F379)</f>
        <v/>
      </c>
    </row>
    <row r="380">
      <c r="A380" s="14" t="n"/>
      <c r="B380" s="14" t="n"/>
      <c r="C380" s="14" t="n"/>
      <c r="D380" s="14" t="n"/>
      <c r="E380" s="15" t="n"/>
      <c r="F380" s="15" t="n"/>
      <c r="G380" s="16" t="n"/>
      <c r="H380" s="16" t="n"/>
      <c r="I380" s="16">
        <f>IF(A380="","",SUMIFS('Movimentações'!$E$5:$E$5000,'Movimentações'!$B$5:$B$5000,A380,'Movimentações'!$D$5:$D$5000,"Entrada"))</f>
        <v/>
      </c>
      <c r="J380" s="16">
        <f>IF(A380="","",SUMIFS('Movimentações'!$E$5:$E$5000,'Movimentações'!$B$5:$B$5000,A380,'Movimentações'!$D$5:$D$5000,"Saída"))</f>
        <v/>
      </c>
      <c r="K380" s="16">
        <f>IF(A380="","",G380+I380-J380)</f>
        <v/>
      </c>
      <c r="L380" s="14">
        <f>IF(A380="","",IF(K380&lt;=0,"SEM ESTOQUE",IF(K380&lt;=H380,"REPOR","OK")))</f>
        <v/>
      </c>
      <c r="M380" s="15">
        <f>IF(A380="","",MAX(K380,0)*E380)</f>
        <v/>
      </c>
      <c r="N380" s="16">
        <f>IF(A380="","",IF(K380&lt;=H380,MAX(2*H380-K380,0),0))</f>
        <v/>
      </c>
      <c r="O380" s="17">
        <f>IF(OR(A380="",F380=0,F380=""),"",(F380-E380)/F380)</f>
        <v/>
      </c>
    </row>
    <row r="381">
      <c r="A381" s="14" t="n"/>
      <c r="B381" s="14" t="n"/>
      <c r="C381" s="14" t="n"/>
      <c r="D381" s="14" t="n"/>
      <c r="E381" s="15" t="n"/>
      <c r="F381" s="15" t="n"/>
      <c r="G381" s="16" t="n"/>
      <c r="H381" s="16" t="n"/>
      <c r="I381" s="16">
        <f>IF(A381="","",SUMIFS('Movimentações'!$E$5:$E$5000,'Movimentações'!$B$5:$B$5000,A381,'Movimentações'!$D$5:$D$5000,"Entrada"))</f>
        <v/>
      </c>
      <c r="J381" s="16">
        <f>IF(A381="","",SUMIFS('Movimentações'!$E$5:$E$5000,'Movimentações'!$B$5:$B$5000,A381,'Movimentações'!$D$5:$D$5000,"Saída"))</f>
        <v/>
      </c>
      <c r="K381" s="16">
        <f>IF(A381="","",G381+I381-J381)</f>
        <v/>
      </c>
      <c r="L381" s="14">
        <f>IF(A381="","",IF(K381&lt;=0,"SEM ESTOQUE",IF(K381&lt;=H381,"REPOR","OK")))</f>
        <v/>
      </c>
      <c r="M381" s="15">
        <f>IF(A381="","",MAX(K381,0)*E381)</f>
        <v/>
      </c>
      <c r="N381" s="16">
        <f>IF(A381="","",IF(K381&lt;=H381,MAX(2*H381-K381,0),0))</f>
        <v/>
      </c>
      <c r="O381" s="17">
        <f>IF(OR(A381="",F381=0,F381=""),"",(F381-E381)/F381)</f>
        <v/>
      </c>
    </row>
    <row r="382">
      <c r="A382" s="14" t="n"/>
      <c r="B382" s="14" t="n"/>
      <c r="C382" s="14" t="n"/>
      <c r="D382" s="14" t="n"/>
      <c r="E382" s="15" t="n"/>
      <c r="F382" s="15" t="n"/>
      <c r="G382" s="16" t="n"/>
      <c r="H382" s="16" t="n"/>
      <c r="I382" s="16">
        <f>IF(A382="","",SUMIFS('Movimentações'!$E$5:$E$5000,'Movimentações'!$B$5:$B$5000,A382,'Movimentações'!$D$5:$D$5000,"Entrada"))</f>
        <v/>
      </c>
      <c r="J382" s="16">
        <f>IF(A382="","",SUMIFS('Movimentações'!$E$5:$E$5000,'Movimentações'!$B$5:$B$5000,A382,'Movimentações'!$D$5:$D$5000,"Saída"))</f>
        <v/>
      </c>
      <c r="K382" s="16">
        <f>IF(A382="","",G382+I382-J382)</f>
        <v/>
      </c>
      <c r="L382" s="14">
        <f>IF(A382="","",IF(K382&lt;=0,"SEM ESTOQUE",IF(K382&lt;=H382,"REPOR","OK")))</f>
        <v/>
      </c>
      <c r="M382" s="15">
        <f>IF(A382="","",MAX(K382,0)*E382)</f>
        <v/>
      </c>
      <c r="N382" s="16">
        <f>IF(A382="","",IF(K382&lt;=H382,MAX(2*H382-K382,0),0))</f>
        <v/>
      </c>
      <c r="O382" s="17">
        <f>IF(OR(A382="",F382=0,F382=""),"",(F382-E382)/F382)</f>
        <v/>
      </c>
    </row>
    <row r="383">
      <c r="A383" s="14" t="n"/>
      <c r="B383" s="14" t="n"/>
      <c r="C383" s="14" t="n"/>
      <c r="D383" s="14" t="n"/>
      <c r="E383" s="15" t="n"/>
      <c r="F383" s="15" t="n"/>
      <c r="G383" s="16" t="n"/>
      <c r="H383" s="16" t="n"/>
      <c r="I383" s="16">
        <f>IF(A383="","",SUMIFS('Movimentações'!$E$5:$E$5000,'Movimentações'!$B$5:$B$5000,A383,'Movimentações'!$D$5:$D$5000,"Entrada"))</f>
        <v/>
      </c>
      <c r="J383" s="16">
        <f>IF(A383="","",SUMIFS('Movimentações'!$E$5:$E$5000,'Movimentações'!$B$5:$B$5000,A383,'Movimentações'!$D$5:$D$5000,"Saída"))</f>
        <v/>
      </c>
      <c r="K383" s="16">
        <f>IF(A383="","",G383+I383-J383)</f>
        <v/>
      </c>
      <c r="L383" s="14">
        <f>IF(A383="","",IF(K383&lt;=0,"SEM ESTOQUE",IF(K383&lt;=H383,"REPOR","OK")))</f>
        <v/>
      </c>
      <c r="M383" s="15">
        <f>IF(A383="","",MAX(K383,0)*E383)</f>
        <v/>
      </c>
      <c r="N383" s="16">
        <f>IF(A383="","",IF(K383&lt;=H383,MAX(2*H383-K383,0),0))</f>
        <v/>
      </c>
      <c r="O383" s="17">
        <f>IF(OR(A383="",F383=0,F383=""),"",(F383-E383)/F383)</f>
        <v/>
      </c>
    </row>
    <row r="384">
      <c r="A384" s="14" t="n"/>
      <c r="B384" s="14" t="n"/>
      <c r="C384" s="14" t="n"/>
      <c r="D384" s="14" t="n"/>
      <c r="E384" s="15" t="n"/>
      <c r="F384" s="15" t="n"/>
      <c r="G384" s="16" t="n"/>
      <c r="H384" s="16" t="n"/>
      <c r="I384" s="16">
        <f>IF(A384="","",SUMIFS('Movimentações'!$E$5:$E$5000,'Movimentações'!$B$5:$B$5000,A384,'Movimentações'!$D$5:$D$5000,"Entrada"))</f>
        <v/>
      </c>
      <c r="J384" s="16">
        <f>IF(A384="","",SUMIFS('Movimentações'!$E$5:$E$5000,'Movimentações'!$B$5:$B$5000,A384,'Movimentações'!$D$5:$D$5000,"Saída"))</f>
        <v/>
      </c>
      <c r="K384" s="16">
        <f>IF(A384="","",G384+I384-J384)</f>
        <v/>
      </c>
      <c r="L384" s="14">
        <f>IF(A384="","",IF(K384&lt;=0,"SEM ESTOQUE",IF(K384&lt;=H384,"REPOR","OK")))</f>
        <v/>
      </c>
      <c r="M384" s="15">
        <f>IF(A384="","",MAX(K384,0)*E384)</f>
        <v/>
      </c>
      <c r="N384" s="16">
        <f>IF(A384="","",IF(K384&lt;=H384,MAX(2*H384-K384,0),0))</f>
        <v/>
      </c>
      <c r="O384" s="17">
        <f>IF(OR(A384="",F384=0,F384=""),"",(F384-E384)/F384)</f>
        <v/>
      </c>
    </row>
    <row r="385">
      <c r="A385" s="14" t="n"/>
      <c r="B385" s="14" t="n"/>
      <c r="C385" s="14" t="n"/>
      <c r="D385" s="14" t="n"/>
      <c r="E385" s="15" t="n"/>
      <c r="F385" s="15" t="n"/>
      <c r="G385" s="16" t="n"/>
      <c r="H385" s="16" t="n"/>
      <c r="I385" s="16">
        <f>IF(A385="","",SUMIFS('Movimentações'!$E$5:$E$5000,'Movimentações'!$B$5:$B$5000,A385,'Movimentações'!$D$5:$D$5000,"Entrada"))</f>
        <v/>
      </c>
      <c r="J385" s="16">
        <f>IF(A385="","",SUMIFS('Movimentações'!$E$5:$E$5000,'Movimentações'!$B$5:$B$5000,A385,'Movimentações'!$D$5:$D$5000,"Saída"))</f>
        <v/>
      </c>
      <c r="K385" s="16">
        <f>IF(A385="","",G385+I385-J385)</f>
        <v/>
      </c>
      <c r="L385" s="14">
        <f>IF(A385="","",IF(K385&lt;=0,"SEM ESTOQUE",IF(K385&lt;=H385,"REPOR","OK")))</f>
        <v/>
      </c>
      <c r="M385" s="15">
        <f>IF(A385="","",MAX(K385,0)*E385)</f>
        <v/>
      </c>
      <c r="N385" s="16">
        <f>IF(A385="","",IF(K385&lt;=H385,MAX(2*H385-K385,0),0))</f>
        <v/>
      </c>
      <c r="O385" s="17">
        <f>IF(OR(A385="",F385=0,F385=""),"",(F385-E385)/F385)</f>
        <v/>
      </c>
    </row>
    <row r="386">
      <c r="A386" s="14" t="n"/>
      <c r="B386" s="14" t="n"/>
      <c r="C386" s="14" t="n"/>
      <c r="D386" s="14" t="n"/>
      <c r="E386" s="15" t="n"/>
      <c r="F386" s="15" t="n"/>
      <c r="G386" s="16" t="n"/>
      <c r="H386" s="16" t="n"/>
      <c r="I386" s="16">
        <f>IF(A386="","",SUMIFS('Movimentações'!$E$5:$E$5000,'Movimentações'!$B$5:$B$5000,A386,'Movimentações'!$D$5:$D$5000,"Entrada"))</f>
        <v/>
      </c>
      <c r="J386" s="16">
        <f>IF(A386="","",SUMIFS('Movimentações'!$E$5:$E$5000,'Movimentações'!$B$5:$B$5000,A386,'Movimentações'!$D$5:$D$5000,"Saída"))</f>
        <v/>
      </c>
      <c r="K386" s="16">
        <f>IF(A386="","",G386+I386-J386)</f>
        <v/>
      </c>
      <c r="L386" s="14">
        <f>IF(A386="","",IF(K386&lt;=0,"SEM ESTOQUE",IF(K386&lt;=H386,"REPOR","OK")))</f>
        <v/>
      </c>
      <c r="M386" s="15">
        <f>IF(A386="","",MAX(K386,0)*E386)</f>
        <v/>
      </c>
      <c r="N386" s="16">
        <f>IF(A386="","",IF(K386&lt;=H386,MAX(2*H386-K386,0),0))</f>
        <v/>
      </c>
      <c r="O386" s="17">
        <f>IF(OR(A386="",F386=0,F386=""),"",(F386-E386)/F386)</f>
        <v/>
      </c>
    </row>
    <row r="387">
      <c r="A387" s="14" t="n"/>
      <c r="B387" s="14" t="n"/>
      <c r="C387" s="14" t="n"/>
      <c r="D387" s="14" t="n"/>
      <c r="E387" s="15" t="n"/>
      <c r="F387" s="15" t="n"/>
      <c r="G387" s="16" t="n"/>
      <c r="H387" s="16" t="n"/>
      <c r="I387" s="16">
        <f>IF(A387="","",SUMIFS('Movimentações'!$E$5:$E$5000,'Movimentações'!$B$5:$B$5000,A387,'Movimentações'!$D$5:$D$5000,"Entrada"))</f>
        <v/>
      </c>
      <c r="J387" s="16">
        <f>IF(A387="","",SUMIFS('Movimentações'!$E$5:$E$5000,'Movimentações'!$B$5:$B$5000,A387,'Movimentações'!$D$5:$D$5000,"Saída"))</f>
        <v/>
      </c>
      <c r="K387" s="16">
        <f>IF(A387="","",G387+I387-J387)</f>
        <v/>
      </c>
      <c r="L387" s="14">
        <f>IF(A387="","",IF(K387&lt;=0,"SEM ESTOQUE",IF(K387&lt;=H387,"REPOR","OK")))</f>
        <v/>
      </c>
      <c r="M387" s="15">
        <f>IF(A387="","",MAX(K387,0)*E387)</f>
        <v/>
      </c>
      <c r="N387" s="16">
        <f>IF(A387="","",IF(K387&lt;=H387,MAX(2*H387-K387,0),0))</f>
        <v/>
      </c>
      <c r="O387" s="17">
        <f>IF(OR(A387="",F387=0,F387=""),"",(F387-E387)/F387)</f>
        <v/>
      </c>
    </row>
    <row r="388">
      <c r="A388" s="14" t="n"/>
      <c r="B388" s="14" t="n"/>
      <c r="C388" s="14" t="n"/>
      <c r="D388" s="14" t="n"/>
      <c r="E388" s="15" t="n"/>
      <c r="F388" s="15" t="n"/>
      <c r="G388" s="16" t="n"/>
      <c r="H388" s="16" t="n"/>
      <c r="I388" s="16">
        <f>IF(A388="","",SUMIFS('Movimentações'!$E$5:$E$5000,'Movimentações'!$B$5:$B$5000,A388,'Movimentações'!$D$5:$D$5000,"Entrada"))</f>
        <v/>
      </c>
      <c r="J388" s="16">
        <f>IF(A388="","",SUMIFS('Movimentações'!$E$5:$E$5000,'Movimentações'!$B$5:$B$5000,A388,'Movimentações'!$D$5:$D$5000,"Saída"))</f>
        <v/>
      </c>
      <c r="K388" s="16">
        <f>IF(A388="","",G388+I388-J388)</f>
        <v/>
      </c>
      <c r="L388" s="14">
        <f>IF(A388="","",IF(K388&lt;=0,"SEM ESTOQUE",IF(K388&lt;=H388,"REPOR","OK")))</f>
        <v/>
      </c>
      <c r="M388" s="15">
        <f>IF(A388="","",MAX(K388,0)*E388)</f>
        <v/>
      </c>
      <c r="N388" s="16">
        <f>IF(A388="","",IF(K388&lt;=H388,MAX(2*H388-K388,0),0))</f>
        <v/>
      </c>
      <c r="O388" s="17">
        <f>IF(OR(A388="",F388=0,F388=""),"",(F388-E388)/F388)</f>
        <v/>
      </c>
    </row>
    <row r="389">
      <c r="A389" s="14" t="n"/>
      <c r="B389" s="14" t="n"/>
      <c r="C389" s="14" t="n"/>
      <c r="D389" s="14" t="n"/>
      <c r="E389" s="15" t="n"/>
      <c r="F389" s="15" t="n"/>
      <c r="G389" s="16" t="n"/>
      <c r="H389" s="16" t="n"/>
      <c r="I389" s="16">
        <f>IF(A389="","",SUMIFS('Movimentações'!$E$5:$E$5000,'Movimentações'!$B$5:$B$5000,A389,'Movimentações'!$D$5:$D$5000,"Entrada"))</f>
        <v/>
      </c>
      <c r="J389" s="16">
        <f>IF(A389="","",SUMIFS('Movimentações'!$E$5:$E$5000,'Movimentações'!$B$5:$B$5000,A389,'Movimentações'!$D$5:$D$5000,"Saída"))</f>
        <v/>
      </c>
      <c r="K389" s="16">
        <f>IF(A389="","",G389+I389-J389)</f>
        <v/>
      </c>
      <c r="L389" s="14">
        <f>IF(A389="","",IF(K389&lt;=0,"SEM ESTOQUE",IF(K389&lt;=H389,"REPOR","OK")))</f>
        <v/>
      </c>
      <c r="M389" s="15">
        <f>IF(A389="","",MAX(K389,0)*E389)</f>
        <v/>
      </c>
      <c r="N389" s="16">
        <f>IF(A389="","",IF(K389&lt;=H389,MAX(2*H389-K389,0),0))</f>
        <v/>
      </c>
      <c r="O389" s="17">
        <f>IF(OR(A389="",F389=0,F389=""),"",(F389-E389)/F389)</f>
        <v/>
      </c>
    </row>
    <row r="390">
      <c r="A390" s="14" t="n"/>
      <c r="B390" s="14" t="n"/>
      <c r="C390" s="14" t="n"/>
      <c r="D390" s="14" t="n"/>
      <c r="E390" s="15" t="n"/>
      <c r="F390" s="15" t="n"/>
      <c r="G390" s="16" t="n"/>
      <c r="H390" s="16" t="n"/>
      <c r="I390" s="16">
        <f>IF(A390="","",SUMIFS('Movimentações'!$E$5:$E$5000,'Movimentações'!$B$5:$B$5000,A390,'Movimentações'!$D$5:$D$5000,"Entrada"))</f>
        <v/>
      </c>
      <c r="J390" s="16">
        <f>IF(A390="","",SUMIFS('Movimentações'!$E$5:$E$5000,'Movimentações'!$B$5:$B$5000,A390,'Movimentações'!$D$5:$D$5000,"Saída"))</f>
        <v/>
      </c>
      <c r="K390" s="16">
        <f>IF(A390="","",G390+I390-J390)</f>
        <v/>
      </c>
      <c r="L390" s="14">
        <f>IF(A390="","",IF(K390&lt;=0,"SEM ESTOQUE",IF(K390&lt;=H390,"REPOR","OK")))</f>
        <v/>
      </c>
      <c r="M390" s="15">
        <f>IF(A390="","",MAX(K390,0)*E390)</f>
        <v/>
      </c>
      <c r="N390" s="16">
        <f>IF(A390="","",IF(K390&lt;=H390,MAX(2*H390-K390,0),0))</f>
        <v/>
      </c>
      <c r="O390" s="17">
        <f>IF(OR(A390="",F390=0,F390=""),"",(F390-E390)/F390)</f>
        <v/>
      </c>
    </row>
    <row r="391">
      <c r="A391" s="14" t="n"/>
      <c r="B391" s="14" t="n"/>
      <c r="C391" s="14" t="n"/>
      <c r="D391" s="14" t="n"/>
      <c r="E391" s="15" t="n"/>
      <c r="F391" s="15" t="n"/>
      <c r="G391" s="16" t="n"/>
      <c r="H391" s="16" t="n"/>
      <c r="I391" s="16">
        <f>IF(A391="","",SUMIFS('Movimentações'!$E$5:$E$5000,'Movimentações'!$B$5:$B$5000,A391,'Movimentações'!$D$5:$D$5000,"Entrada"))</f>
        <v/>
      </c>
      <c r="J391" s="16">
        <f>IF(A391="","",SUMIFS('Movimentações'!$E$5:$E$5000,'Movimentações'!$B$5:$B$5000,A391,'Movimentações'!$D$5:$D$5000,"Saída"))</f>
        <v/>
      </c>
      <c r="K391" s="16">
        <f>IF(A391="","",G391+I391-J391)</f>
        <v/>
      </c>
      <c r="L391" s="14">
        <f>IF(A391="","",IF(K391&lt;=0,"SEM ESTOQUE",IF(K391&lt;=H391,"REPOR","OK")))</f>
        <v/>
      </c>
      <c r="M391" s="15">
        <f>IF(A391="","",MAX(K391,0)*E391)</f>
        <v/>
      </c>
      <c r="N391" s="16">
        <f>IF(A391="","",IF(K391&lt;=H391,MAX(2*H391-K391,0),0))</f>
        <v/>
      </c>
      <c r="O391" s="17">
        <f>IF(OR(A391="",F391=0,F391=""),"",(F391-E391)/F391)</f>
        <v/>
      </c>
    </row>
    <row r="392">
      <c r="A392" s="14" t="n"/>
      <c r="B392" s="14" t="n"/>
      <c r="C392" s="14" t="n"/>
      <c r="D392" s="14" t="n"/>
      <c r="E392" s="15" t="n"/>
      <c r="F392" s="15" t="n"/>
      <c r="G392" s="16" t="n"/>
      <c r="H392" s="16" t="n"/>
      <c r="I392" s="16">
        <f>IF(A392="","",SUMIFS('Movimentações'!$E$5:$E$5000,'Movimentações'!$B$5:$B$5000,A392,'Movimentações'!$D$5:$D$5000,"Entrada"))</f>
        <v/>
      </c>
      <c r="J392" s="16">
        <f>IF(A392="","",SUMIFS('Movimentações'!$E$5:$E$5000,'Movimentações'!$B$5:$B$5000,A392,'Movimentações'!$D$5:$D$5000,"Saída"))</f>
        <v/>
      </c>
      <c r="K392" s="16">
        <f>IF(A392="","",G392+I392-J392)</f>
        <v/>
      </c>
      <c r="L392" s="14">
        <f>IF(A392="","",IF(K392&lt;=0,"SEM ESTOQUE",IF(K392&lt;=H392,"REPOR","OK")))</f>
        <v/>
      </c>
      <c r="M392" s="15">
        <f>IF(A392="","",MAX(K392,0)*E392)</f>
        <v/>
      </c>
      <c r="N392" s="16">
        <f>IF(A392="","",IF(K392&lt;=H392,MAX(2*H392-K392,0),0))</f>
        <v/>
      </c>
      <c r="O392" s="17">
        <f>IF(OR(A392="",F392=0,F392=""),"",(F392-E392)/F392)</f>
        <v/>
      </c>
    </row>
    <row r="393">
      <c r="A393" s="14" t="n"/>
      <c r="B393" s="14" t="n"/>
      <c r="C393" s="14" t="n"/>
      <c r="D393" s="14" t="n"/>
      <c r="E393" s="15" t="n"/>
      <c r="F393" s="15" t="n"/>
      <c r="G393" s="16" t="n"/>
      <c r="H393" s="16" t="n"/>
      <c r="I393" s="16">
        <f>IF(A393="","",SUMIFS('Movimentações'!$E$5:$E$5000,'Movimentações'!$B$5:$B$5000,A393,'Movimentações'!$D$5:$D$5000,"Entrada"))</f>
        <v/>
      </c>
      <c r="J393" s="16">
        <f>IF(A393="","",SUMIFS('Movimentações'!$E$5:$E$5000,'Movimentações'!$B$5:$B$5000,A393,'Movimentações'!$D$5:$D$5000,"Saída"))</f>
        <v/>
      </c>
      <c r="K393" s="16">
        <f>IF(A393="","",G393+I393-J393)</f>
        <v/>
      </c>
      <c r="L393" s="14">
        <f>IF(A393="","",IF(K393&lt;=0,"SEM ESTOQUE",IF(K393&lt;=H393,"REPOR","OK")))</f>
        <v/>
      </c>
      <c r="M393" s="15">
        <f>IF(A393="","",MAX(K393,0)*E393)</f>
        <v/>
      </c>
      <c r="N393" s="16">
        <f>IF(A393="","",IF(K393&lt;=H393,MAX(2*H393-K393,0),0))</f>
        <v/>
      </c>
      <c r="O393" s="17">
        <f>IF(OR(A393="",F393=0,F393=""),"",(F393-E393)/F393)</f>
        <v/>
      </c>
    </row>
    <row r="394">
      <c r="A394" s="14" t="n"/>
      <c r="B394" s="14" t="n"/>
      <c r="C394" s="14" t="n"/>
      <c r="D394" s="14" t="n"/>
      <c r="E394" s="15" t="n"/>
      <c r="F394" s="15" t="n"/>
      <c r="G394" s="16" t="n"/>
      <c r="H394" s="16" t="n"/>
      <c r="I394" s="16">
        <f>IF(A394="","",SUMIFS('Movimentações'!$E$5:$E$5000,'Movimentações'!$B$5:$B$5000,A394,'Movimentações'!$D$5:$D$5000,"Entrada"))</f>
        <v/>
      </c>
      <c r="J394" s="16">
        <f>IF(A394="","",SUMIFS('Movimentações'!$E$5:$E$5000,'Movimentações'!$B$5:$B$5000,A394,'Movimentações'!$D$5:$D$5000,"Saída"))</f>
        <v/>
      </c>
      <c r="K394" s="16">
        <f>IF(A394="","",G394+I394-J394)</f>
        <v/>
      </c>
      <c r="L394" s="14">
        <f>IF(A394="","",IF(K394&lt;=0,"SEM ESTOQUE",IF(K394&lt;=H394,"REPOR","OK")))</f>
        <v/>
      </c>
      <c r="M394" s="15">
        <f>IF(A394="","",MAX(K394,0)*E394)</f>
        <v/>
      </c>
      <c r="N394" s="16">
        <f>IF(A394="","",IF(K394&lt;=H394,MAX(2*H394-K394,0),0))</f>
        <v/>
      </c>
      <c r="O394" s="17">
        <f>IF(OR(A394="",F394=0,F394=""),"",(F394-E394)/F394)</f>
        <v/>
      </c>
    </row>
    <row r="395">
      <c r="A395" s="14" t="n"/>
      <c r="B395" s="14" t="n"/>
      <c r="C395" s="14" t="n"/>
      <c r="D395" s="14" t="n"/>
      <c r="E395" s="15" t="n"/>
      <c r="F395" s="15" t="n"/>
      <c r="G395" s="16" t="n"/>
      <c r="H395" s="16" t="n"/>
      <c r="I395" s="16">
        <f>IF(A395="","",SUMIFS('Movimentações'!$E$5:$E$5000,'Movimentações'!$B$5:$B$5000,A395,'Movimentações'!$D$5:$D$5000,"Entrada"))</f>
        <v/>
      </c>
      <c r="J395" s="16">
        <f>IF(A395="","",SUMIFS('Movimentações'!$E$5:$E$5000,'Movimentações'!$B$5:$B$5000,A395,'Movimentações'!$D$5:$D$5000,"Saída"))</f>
        <v/>
      </c>
      <c r="K395" s="16">
        <f>IF(A395="","",G395+I395-J395)</f>
        <v/>
      </c>
      <c r="L395" s="14">
        <f>IF(A395="","",IF(K395&lt;=0,"SEM ESTOQUE",IF(K395&lt;=H395,"REPOR","OK")))</f>
        <v/>
      </c>
      <c r="M395" s="15">
        <f>IF(A395="","",MAX(K395,0)*E395)</f>
        <v/>
      </c>
      <c r="N395" s="16">
        <f>IF(A395="","",IF(K395&lt;=H395,MAX(2*H395-K395,0),0))</f>
        <v/>
      </c>
      <c r="O395" s="17">
        <f>IF(OR(A395="",F395=0,F395=""),"",(F395-E395)/F395)</f>
        <v/>
      </c>
    </row>
    <row r="396">
      <c r="A396" s="14" t="n"/>
      <c r="B396" s="14" t="n"/>
      <c r="C396" s="14" t="n"/>
      <c r="D396" s="14" t="n"/>
      <c r="E396" s="15" t="n"/>
      <c r="F396" s="15" t="n"/>
      <c r="G396" s="16" t="n"/>
      <c r="H396" s="16" t="n"/>
      <c r="I396" s="16">
        <f>IF(A396="","",SUMIFS('Movimentações'!$E$5:$E$5000,'Movimentações'!$B$5:$B$5000,A396,'Movimentações'!$D$5:$D$5000,"Entrada"))</f>
        <v/>
      </c>
      <c r="J396" s="16">
        <f>IF(A396="","",SUMIFS('Movimentações'!$E$5:$E$5000,'Movimentações'!$B$5:$B$5000,A396,'Movimentações'!$D$5:$D$5000,"Saída"))</f>
        <v/>
      </c>
      <c r="K396" s="16">
        <f>IF(A396="","",G396+I396-J396)</f>
        <v/>
      </c>
      <c r="L396" s="14">
        <f>IF(A396="","",IF(K396&lt;=0,"SEM ESTOQUE",IF(K396&lt;=H396,"REPOR","OK")))</f>
        <v/>
      </c>
      <c r="M396" s="15">
        <f>IF(A396="","",MAX(K396,0)*E396)</f>
        <v/>
      </c>
      <c r="N396" s="16">
        <f>IF(A396="","",IF(K396&lt;=H396,MAX(2*H396-K396,0),0))</f>
        <v/>
      </c>
      <c r="O396" s="17">
        <f>IF(OR(A396="",F396=0,F396=""),"",(F396-E396)/F396)</f>
        <v/>
      </c>
    </row>
    <row r="397">
      <c r="A397" s="14" t="n"/>
      <c r="B397" s="14" t="n"/>
      <c r="C397" s="14" t="n"/>
      <c r="D397" s="14" t="n"/>
      <c r="E397" s="15" t="n"/>
      <c r="F397" s="15" t="n"/>
      <c r="G397" s="16" t="n"/>
      <c r="H397" s="16" t="n"/>
      <c r="I397" s="16">
        <f>IF(A397="","",SUMIFS('Movimentações'!$E$5:$E$5000,'Movimentações'!$B$5:$B$5000,A397,'Movimentações'!$D$5:$D$5000,"Entrada"))</f>
        <v/>
      </c>
      <c r="J397" s="16">
        <f>IF(A397="","",SUMIFS('Movimentações'!$E$5:$E$5000,'Movimentações'!$B$5:$B$5000,A397,'Movimentações'!$D$5:$D$5000,"Saída"))</f>
        <v/>
      </c>
      <c r="K397" s="16">
        <f>IF(A397="","",G397+I397-J397)</f>
        <v/>
      </c>
      <c r="L397" s="14">
        <f>IF(A397="","",IF(K397&lt;=0,"SEM ESTOQUE",IF(K397&lt;=H397,"REPOR","OK")))</f>
        <v/>
      </c>
      <c r="M397" s="15">
        <f>IF(A397="","",MAX(K397,0)*E397)</f>
        <v/>
      </c>
      <c r="N397" s="16">
        <f>IF(A397="","",IF(K397&lt;=H397,MAX(2*H397-K397,0),0))</f>
        <v/>
      </c>
      <c r="O397" s="17">
        <f>IF(OR(A397="",F397=0,F397=""),"",(F397-E397)/F397)</f>
        <v/>
      </c>
    </row>
    <row r="398">
      <c r="A398" s="14" t="n"/>
      <c r="B398" s="14" t="n"/>
      <c r="C398" s="14" t="n"/>
      <c r="D398" s="14" t="n"/>
      <c r="E398" s="15" t="n"/>
      <c r="F398" s="15" t="n"/>
      <c r="G398" s="16" t="n"/>
      <c r="H398" s="16" t="n"/>
      <c r="I398" s="16">
        <f>IF(A398="","",SUMIFS('Movimentações'!$E$5:$E$5000,'Movimentações'!$B$5:$B$5000,A398,'Movimentações'!$D$5:$D$5000,"Entrada"))</f>
        <v/>
      </c>
      <c r="J398" s="16">
        <f>IF(A398="","",SUMIFS('Movimentações'!$E$5:$E$5000,'Movimentações'!$B$5:$B$5000,A398,'Movimentações'!$D$5:$D$5000,"Saída"))</f>
        <v/>
      </c>
      <c r="K398" s="16">
        <f>IF(A398="","",G398+I398-J398)</f>
        <v/>
      </c>
      <c r="L398" s="14">
        <f>IF(A398="","",IF(K398&lt;=0,"SEM ESTOQUE",IF(K398&lt;=H398,"REPOR","OK")))</f>
        <v/>
      </c>
      <c r="M398" s="15">
        <f>IF(A398="","",MAX(K398,0)*E398)</f>
        <v/>
      </c>
      <c r="N398" s="16">
        <f>IF(A398="","",IF(K398&lt;=H398,MAX(2*H398-K398,0),0))</f>
        <v/>
      </c>
      <c r="O398" s="17">
        <f>IF(OR(A398="",F398=0,F398=""),"",(F398-E398)/F398)</f>
        <v/>
      </c>
    </row>
    <row r="399">
      <c r="A399" s="14" t="n"/>
      <c r="B399" s="14" t="n"/>
      <c r="C399" s="14" t="n"/>
      <c r="D399" s="14" t="n"/>
      <c r="E399" s="15" t="n"/>
      <c r="F399" s="15" t="n"/>
      <c r="G399" s="16" t="n"/>
      <c r="H399" s="16" t="n"/>
      <c r="I399" s="16">
        <f>IF(A399="","",SUMIFS('Movimentações'!$E$5:$E$5000,'Movimentações'!$B$5:$B$5000,A399,'Movimentações'!$D$5:$D$5000,"Entrada"))</f>
        <v/>
      </c>
      <c r="J399" s="16">
        <f>IF(A399="","",SUMIFS('Movimentações'!$E$5:$E$5000,'Movimentações'!$B$5:$B$5000,A399,'Movimentações'!$D$5:$D$5000,"Saída"))</f>
        <v/>
      </c>
      <c r="K399" s="16">
        <f>IF(A399="","",G399+I399-J399)</f>
        <v/>
      </c>
      <c r="L399" s="14">
        <f>IF(A399="","",IF(K399&lt;=0,"SEM ESTOQUE",IF(K399&lt;=H399,"REPOR","OK")))</f>
        <v/>
      </c>
      <c r="M399" s="15">
        <f>IF(A399="","",MAX(K399,0)*E399)</f>
        <v/>
      </c>
      <c r="N399" s="16">
        <f>IF(A399="","",IF(K399&lt;=H399,MAX(2*H399-K399,0),0))</f>
        <v/>
      </c>
      <c r="O399" s="17">
        <f>IF(OR(A399="",F399=0,F399=""),"",(F399-E399)/F399)</f>
        <v/>
      </c>
    </row>
    <row r="400">
      <c r="A400" s="14" t="n"/>
      <c r="B400" s="14" t="n"/>
      <c r="C400" s="14" t="n"/>
      <c r="D400" s="14" t="n"/>
      <c r="E400" s="15" t="n"/>
      <c r="F400" s="15" t="n"/>
      <c r="G400" s="16" t="n"/>
      <c r="H400" s="16" t="n"/>
      <c r="I400" s="16">
        <f>IF(A400="","",SUMIFS('Movimentações'!$E$5:$E$5000,'Movimentações'!$B$5:$B$5000,A400,'Movimentações'!$D$5:$D$5000,"Entrada"))</f>
        <v/>
      </c>
      <c r="J400" s="16">
        <f>IF(A400="","",SUMIFS('Movimentações'!$E$5:$E$5000,'Movimentações'!$B$5:$B$5000,A400,'Movimentações'!$D$5:$D$5000,"Saída"))</f>
        <v/>
      </c>
      <c r="K400" s="16">
        <f>IF(A400="","",G400+I400-J400)</f>
        <v/>
      </c>
      <c r="L400" s="14">
        <f>IF(A400="","",IF(K400&lt;=0,"SEM ESTOQUE",IF(K400&lt;=H400,"REPOR","OK")))</f>
        <v/>
      </c>
      <c r="M400" s="15">
        <f>IF(A400="","",MAX(K400,0)*E400)</f>
        <v/>
      </c>
      <c r="N400" s="16">
        <f>IF(A400="","",IF(K400&lt;=H400,MAX(2*H400-K400,0),0))</f>
        <v/>
      </c>
      <c r="O400" s="17">
        <f>IF(OR(A400="",F400=0,F400=""),"",(F400-E400)/F400)</f>
        <v/>
      </c>
    </row>
    <row r="401">
      <c r="A401" s="14" t="n"/>
      <c r="B401" s="14" t="n"/>
      <c r="C401" s="14" t="n"/>
      <c r="D401" s="14" t="n"/>
      <c r="E401" s="15" t="n"/>
      <c r="F401" s="15" t="n"/>
      <c r="G401" s="16" t="n"/>
      <c r="H401" s="16" t="n"/>
      <c r="I401" s="16">
        <f>IF(A401="","",SUMIFS('Movimentações'!$E$5:$E$5000,'Movimentações'!$B$5:$B$5000,A401,'Movimentações'!$D$5:$D$5000,"Entrada"))</f>
        <v/>
      </c>
      <c r="J401" s="16">
        <f>IF(A401="","",SUMIFS('Movimentações'!$E$5:$E$5000,'Movimentações'!$B$5:$B$5000,A401,'Movimentações'!$D$5:$D$5000,"Saída"))</f>
        <v/>
      </c>
      <c r="K401" s="16">
        <f>IF(A401="","",G401+I401-J401)</f>
        <v/>
      </c>
      <c r="L401" s="14">
        <f>IF(A401="","",IF(K401&lt;=0,"SEM ESTOQUE",IF(K401&lt;=H401,"REPOR","OK")))</f>
        <v/>
      </c>
      <c r="M401" s="15">
        <f>IF(A401="","",MAX(K401,0)*E401)</f>
        <v/>
      </c>
      <c r="N401" s="16">
        <f>IF(A401="","",IF(K401&lt;=H401,MAX(2*H401-K401,0),0))</f>
        <v/>
      </c>
      <c r="O401" s="17">
        <f>IF(OR(A401="",F401=0,F401=""),"",(F401-E401)/F401)</f>
        <v/>
      </c>
    </row>
    <row r="402">
      <c r="A402" s="14" t="n"/>
      <c r="B402" s="14" t="n"/>
      <c r="C402" s="14" t="n"/>
      <c r="D402" s="14" t="n"/>
      <c r="E402" s="15" t="n"/>
      <c r="F402" s="15" t="n"/>
      <c r="G402" s="16" t="n"/>
      <c r="H402" s="16" t="n"/>
      <c r="I402" s="16">
        <f>IF(A402="","",SUMIFS('Movimentações'!$E$5:$E$5000,'Movimentações'!$B$5:$B$5000,A402,'Movimentações'!$D$5:$D$5000,"Entrada"))</f>
        <v/>
      </c>
      <c r="J402" s="16">
        <f>IF(A402="","",SUMIFS('Movimentações'!$E$5:$E$5000,'Movimentações'!$B$5:$B$5000,A402,'Movimentações'!$D$5:$D$5000,"Saída"))</f>
        <v/>
      </c>
      <c r="K402" s="16">
        <f>IF(A402="","",G402+I402-J402)</f>
        <v/>
      </c>
      <c r="L402" s="14">
        <f>IF(A402="","",IF(K402&lt;=0,"SEM ESTOQUE",IF(K402&lt;=H402,"REPOR","OK")))</f>
        <v/>
      </c>
      <c r="M402" s="15">
        <f>IF(A402="","",MAX(K402,0)*E402)</f>
        <v/>
      </c>
      <c r="N402" s="16">
        <f>IF(A402="","",IF(K402&lt;=H402,MAX(2*H402-K402,0),0))</f>
        <v/>
      </c>
      <c r="O402" s="17">
        <f>IF(OR(A402="",F402=0,F402=""),"",(F402-E402)/F402)</f>
        <v/>
      </c>
    </row>
    <row r="403">
      <c r="A403" s="14" t="n"/>
      <c r="B403" s="14" t="n"/>
      <c r="C403" s="14" t="n"/>
      <c r="D403" s="14" t="n"/>
      <c r="E403" s="15" t="n"/>
      <c r="F403" s="15" t="n"/>
      <c r="G403" s="16" t="n"/>
      <c r="H403" s="16" t="n"/>
      <c r="I403" s="16">
        <f>IF(A403="","",SUMIFS('Movimentações'!$E$5:$E$5000,'Movimentações'!$B$5:$B$5000,A403,'Movimentações'!$D$5:$D$5000,"Entrada"))</f>
        <v/>
      </c>
      <c r="J403" s="16">
        <f>IF(A403="","",SUMIFS('Movimentações'!$E$5:$E$5000,'Movimentações'!$B$5:$B$5000,A403,'Movimentações'!$D$5:$D$5000,"Saída"))</f>
        <v/>
      </c>
      <c r="K403" s="16">
        <f>IF(A403="","",G403+I403-J403)</f>
        <v/>
      </c>
      <c r="L403" s="14">
        <f>IF(A403="","",IF(K403&lt;=0,"SEM ESTOQUE",IF(K403&lt;=H403,"REPOR","OK")))</f>
        <v/>
      </c>
      <c r="M403" s="15">
        <f>IF(A403="","",MAX(K403,0)*E403)</f>
        <v/>
      </c>
      <c r="N403" s="16">
        <f>IF(A403="","",IF(K403&lt;=H403,MAX(2*H403-K403,0),0))</f>
        <v/>
      </c>
      <c r="O403" s="17">
        <f>IF(OR(A403="",F403=0,F403=""),"",(F403-E403)/F403)</f>
        <v/>
      </c>
    </row>
    <row r="404">
      <c r="A404" s="14" t="n"/>
      <c r="B404" s="14" t="n"/>
      <c r="C404" s="14" t="n"/>
      <c r="D404" s="14" t="n"/>
      <c r="E404" s="15" t="n"/>
      <c r="F404" s="15" t="n"/>
      <c r="G404" s="16" t="n"/>
      <c r="H404" s="16" t="n"/>
      <c r="I404" s="16">
        <f>IF(A404="","",SUMIFS('Movimentações'!$E$5:$E$5000,'Movimentações'!$B$5:$B$5000,A404,'Movimentações'!$D$5:$D$5000,"Entrada"))</f>
        <v/>
      </c>
      <c r="J404" s="16">
        <f>IF(A404="","",SUMIFS('Movimentações'!$E$5:$E$5000,'Movimentações'!$B$5:$B$5000,A404,'Movimentações'!$D$5:$D$5000,"Saída"))</f>
        <v/>
      </c>
      <c r="K404" s="16">
        <f>IF(A404="","",G404+I404-J404)</f>
        <v/>
      </c>
      <c r="L404" s="14">
        <f>IF(A404="","",IF(K404&lt;=0,"SEM ESTOQUE",IF(K404&lt;=H404,"REPOR","OK")))</f>
        <v/>
      </c>
      <c r="M404" s="15">
        <f>IF(A404="","",MAX(K404,0)*E404)</f>
        <v/>
      </c>
      <c r="N404" s="16">
        <f>IF(A404="","",IF(K404&lt;=H404,MAX(2*H404-K404,0),0))</f>
        <v/>
      </c>
      <c r="O404" s="17">
        <f>IF(OR(A404="",F404=0,F404=""),"",(F404-E404)/F404)</f>
        <v/>
      </c>
    </row>
    <row r="405">
      <c r="A405" s="14" t="n"/>
      <c r="B405" s="14" t="n"/>
      <c r="C405" s="14" t="n"/>
      <c r="D405" s="14" t="n"/>
      <c r="E405" s="15" t="n"/>
      <c r="F405" s="15" t="n"/>
      <c r="G405" s="16" t="n"/>
      <c r="H405" s="16" t="n"/>
      <c r="I405" s="16">
        <f>IF(A405="","",SUMIFS('Movimentações'!$E$5:$E$5000,'Movimentações'!$B$5:$B$5000,A405,'Movimentações'!$D$5:$D$5000,"Entrada"))</f>
        <v/>
      </c>
      <c r="J405" s="16">
        <f>IF(A405="","",SUMIFS('Movimentações'!$E$5:$E$5000,'Movimentações'!$B$5:$B$5000,A405,'Movimentações'!$D$5:$D$5000,"Saída"))</f>
        <v/>
      </c>
      <c r="K405" s="16">
        <f>IF(A405="","",G405+I405-J405)</f>
        <v/>
      </c>
      <c r="L405" s="14">
        <f>IF(A405="","",IF(K405&lt;=0,"SEM ESTOQUE",IF(K405&lt;=H405,"REPOR","OK")))</f>
        <v/>
      </c>
      <c r="M405" s="15">
        <f>IF(A405="","",MAX(K405,0)*E405)</f>
        <v/>
      </c>
      <c r="N405" s="16">
        <f>IF(A405="","",IF(K405&lt;=H405,MAX(2*H405-K405,0),0))</f>
        <v/>
      </c>
      <c r="O405" s="17">
        <f>IF(OR(A405="",F405=0,F405=""),"",(F405-E405)/F405)</f>
        <v/>
      </c>
    </row>
    <row r="406">
      <c r="A406" s="14" t="n"/>
      <c r="B406" s="14" t="n"/>
      <c r="C406" s="14" t="n"/>
      <c r="D406" s="14" t="n"/>
      <c r="E406" s="15" t="n"/>
      <c r="F406" s="15" t="n"/>
      <c r="G406" s="16" t="n"/>
      <c r="H406" s="16" t="n"/>
      <c r="I406" s="16">
        <f>IF(A406="","",SUMIFS('Movimentações'!$E$5:$E$5000,'Movimentações'!$B$5:$B$5000,A406,'Movimentações'!$D$5:$D$5000,"Entrada"))</f>
        <v/>
      </c>
      <c r="J406" s="16">
        <f>IF(A406="","",SUMIFS('Movimentações'!$E$5:$E$5000,'Movimentações'!$B$5:$B$5000,A406,'Movimentações'!$D$5:$D$5000,"Saída"))</f>
        <v/>
      </c>
      <c r="K406" s="16">
        <f>IF(A406="","",G406+I406-J406)</f>
        <v/>
      </c>
      <c r="L406" s="14">
        <f>IF(A406="","",IF(K406&lt;=0,"SEM ESTOQUE",IF(K406&lt;=H406,"REPOR","OK")))</f>
        <v/>
      </c>
      <c r="M406" s="15">
        <f>IF(A406="","",MAX(K406,0)*E406)</f>
        <v/>
      </c>
      <c r="N406" s="16">
        <f>IF(A406="","",IF(K406&lt;=H406,MAX(2*H406-K406,0),0))</f>
        <v/>
      </c>
      <c r="O406" s="17">
        <f>IF(OR(A406="",F406=0,F406=""),"",(F406-E406)/F406)</f>
        <v/>
      </c>
    </row>
    <row r="407">
      <c r="A407" s="14" t="n"/>
      <c r="B407" s="14" t="n"/>
      <c r="C407" s="14" t="n"/>
      <c r="D407" s="14" t="n"/>
      <c r="E407" s="15" t="n"/>
      <c r="F407" s="15" t="n"/>
      <c r="G407" s="16" t="n"/>
      <c r="H407" s="16" t="n"/>
      <c r="I407" s="16">
        <f>IF(A407="","",SUMIFS('Movimentações'!$E$5:$E$5000,'Movimentações'!$B$5:$B$5000,A407,'Movimentações'!$D$5:$D$5000,"Entrada"))</f>
        <v/>
      </c>
      <c r="J407" s="16">
        <f>IF(A407="","",SUMIFS('Movimentações'!$E$5:$E$5000,'Movimentações'!$B$5:$B$5000,A407,'Movimentações'!$D$5:$D$5000,"Saída"))</f>
        <v/>
      </c>
      <c r="K407" s="16">
        <f>IF(A407="","",G407+I407-J407)</f>
        <v/>
      </c>
      <c r="L407" s="14">
        <f>IF(A407="","",IF(K407&lt;=0,"SEM ESTOQUE",IF(K407&lt;=H407,"REPOR","OK")))</f>
        <v/>
      </c>
      <c r="M407" s="15">
        <f>IF(A407="","",MAX(K407,0)*E407)</f>
        <v/>
      </c>
      <c r="N407" s="16">
        <f>IF(A407="","",IF(K407&lt;=H407,MAX(2*H407-K407,0),0))</f>
        <v/>
      </c>
      <c r="O407" s="17">
        <f>IF(OR(A407="",F407=0,F407=""),"",(F407-E407)/F407)</f>
        <v/>
      </c>
    </row>
    <row r="408">
      <c r="A408" s="14" t="n"/>
      <c r="B408" s="14" t="n"/>
      <c r="C408" s="14" t="n"/>
      <c r="D408" s="14" t="n"/>
      <c r="E408" s="15" t="n"/>
      <c r="F408" s="15" t="n"/>
      <c r="G408" s="16" t="n"/>
      <c r="H408" s="16" t="n"/>
      <c r="I408" s="16">
        <f>IF(A408="","",SUMIFS('Movimentações'!$E$5:$E$5000,'Movimentações'!$B$5:$B$5000,A408,'Movimentações'!$D$5:$D$5000,"Entrada"))</f>
        <v/>
      </c>
      <c r="J408" s="16">
        <f>IF(A408="","",SUMIFS('Movimentações'!$E$5:$E$5000,'Movimentações'!$B$5:$B$5000,A408,'Movimentações'!$D$5:$D$5000,"Saída"))</f>
        <v/>
      </c>
      <c r="K408" s="16">
        <f>IF(A408="","",G408+I408-J408)</f>
        <v/>
      </c>
      <c r="L408" s="14">
        <f>IF(A408="","",IF(K408&lt;=0,"SEM ESTOQUE",IF(K408&lt;=H408,"REPOR","OK")))</f>
        <v/>
      </c>
      <c r="M408" s="15">
        <f>IF(A408="","",MAX(K408,0)*E408)</f>
        <v/>
      </c>
      <c r="N408" s="16">
        <f>IF(A408="","",IF(K408&lt;=H408,MAX(2*H408-K408,0),0))</f>
        <v/>
      </c>
      <c r="O408" s="17">
        <f>IF(OR(A408="",F408=0,F408=""),"",(F408-E408)/F408)</f>
        <v/>
      </c>
    </row>
    <row r="409">
      <c r="A409" s="14" t="n"/>
      <c r="B409" s="14" t="n"/>
      <c r="C409" s="14" t="n"/>
      <c r="D409" s="14" t="n"/>
      <c r="E409" s="15" t="n"/>
      <c r="F409" s="15" t="n"/>
      <c r="G409" s="16" t="n"/>
      <c r="H409" s="16" t="n"/>
      <c r="I409" s="16">
        <f>IF(A409="","",SUMIFS('Movimentações'!$E$5:$E$5000,'Movimentações'!$B$5:$B$5000,A409,'Movimentações'!$D$5:$D$5000,"Entrada"))</f>
        <v/>
      </c>
      <c r="J409" s="16">
        <f>IF(A409="","",SUMIFS('Movimentações'!$E$5:$E$5000,'Movimentações'!$B$5:$B$5000,A409,'Movimentações'!$D$5:$D$5000,"Saída"))</f>
        <v/>
      </c>
      <c r="K409" s="16">
        <f>IF(A409="","",G409+I409-J409)</f>
        <v/>
      </c>
      <c r="L409" s="14">
        <f>IF(A409="","",IF(K409&lt;=0,"SEM ESTOQUE",IF(K409&lt;=H409,"REPOR","OK")))</f>
        <v/>
      </c>
      <c r="M409" s="15">
        <f>IF(A409="","",MAX(K409,0)*E409)</f>
        <v/>
      </c>
      <c r="N409" s="16">
        <f>IF(A409="","",IF(K409&lt;=H409,MAX(2*H409-K409,0),0))</f>
        <v/>
      </c>
      <c r="O409" s="17">
        <f>IF(OR(A409="",F409=0,F409=""),"",(F409-E409)/F409)</f>
        <v/>
      </c>
    </row>
    <row r="410">
      <c r="A410" s="14" t="n"/>
      <c r="B410" s="14" t="n"/>
      <c r="C410" s="14" t="n"/>
      <c r="D410" s="14" t="n"/>
      <c r="E410" s="15" t="n"/>
      <c r="F410" s="15" t="n"/>
      <c r="G410" s="16" t="n"/>
      <c r="H410" s="16" t="n"/>
      <c r="I410" s="16">
        <f>IF(A410="","",SUMIFS('Movimentações'!$E$5:$E$5000,'Movimentações'!$B$5:$B$5000,A410,'Movimentações'!$D$5:$D$5000,"Entrada"))</f>
        <v/>
      </c>
      <c r="J410" s="16">
        <f>IF(A410="","",SUMIFS('Movimentações'!$E$5:$E$5000,'Movimentações'!$B$5:$B$5000,A410,'Movimentações'!$D$5:$D$5000,"Saída"))</f>
        <v/>
      </c>
      <c r="K410" s="16">
        <f>IF(A410="","",G410+I410-J410)</f>
        <v/>
      </c>
      <c r="L410" s="14">
        <f>IF(A410="","",IF(K410&lt;=0,"SEM ESTOQUE",IF(K410&lt;=H410,"REPOR","OK")))</f>
        <v/>
      </c>
      <c r="M410" s="15">
        <f>IF(A410="","",MAX(K410,0)*E410)</f>
        <v/>
      </c>
      <c r="N410" s="16">
        <f>IF(A410="","",IF(K410&lt;=H410,MAX(2*H410-K410,0),0))</f>
        <v/>
      </c>
      <c r="O410" s="17">
        <f>IF(OR(A410="",F410=0,F410=""),"",(F410-E410)/F410)</f>
        <v/>
      </c>
    </row>
    <row r="411">
      <c r="A411" s="14" t="n"/>
      <c r="B411" s="14" t="n"/>
      <c r="C411" s="14" t="n"/>
      <c r="D411" s="14" t="n"/>
      <c r="E411" s="15" t="n"/>
      <c r="F411" s="15" t="n"/>
      <c r="G411" s="16" t="n"/>
      <c r="H411" s="16" t="n"/>
      <c r="I411" s="16">
        <f>IF(A411="","",SUMIFS('Movimentações'!$E$5:$E$5000,'Movimentações'!$B$5:$B$5000,A411,'Movimentações'!$D$5:$D$5000,"Entrada"))</f>
        <v/>
      </c>
      <c r="J411" s="16">
        <f>IF(A411="","",SUMIFS('Movimentações'!$E$5:$E$5000,'Movimentações'!$B$5:$B$5000,A411,'Movimentações'!$D$5:$D$5000,"Saída"))</f>
        <v/>
      </c>
      <c r="K411" s="16">
        <f>IF(A411="","",G411+I411-J411)</f>
        <v/>
      </c>
      <c r="L411" s="14">
        <f>IF(A411="","",IF(K411&lt;=0,"SEM ESTOQUE",IF(K411&lt;=H411,"REPOR","OK")))</f>
        <v/>
      </c>
      <c r="M411" s="15">
        <f>IF(A411="","",MAX(K411,0)*E411)</f>
        <v/>
      </c>
      <c r="N411" s="16">
        <f>IF(A411="","",IF(K411&lt;=H411,MAX(2*H411-K411,0),0))</f>
        <v/>
      </c>
      <c r="O411" s="17">
        <f>IF(OR(A411="",F411=0,F411=""),"",(F411-E411)/F411)</f>
        <v/>
      </c>
    </row>
    <row r="412">
      <c r="A412" s="14" t="n"/>
      <c r="B412" s="14" t="n"/>
      <c r="C412" s="14" t="n"/>
      <c r="D412" s="14" t="n"/>
      <c r="E412" s="15" t="n"/>
      <c r="F412" s="15" t="n"/>
      <c r="G412" s="16" t="n"/>
      <c r="H412" s="16" t="n"/>
      <c r="I412" s="16">
        <f>IF(A412="","",SUMIFS('Movimentações'!$E$5:$E$5000,'Movimentações'!$B$5:$B$5000,A412,'Movimentações'!$D$5:$D$5000,"Entrada"))</f>
        <v/>
      </c>
      <c r="J412" s="16">
        <f>IF(A412="","",SUMIFS('Movimentações'!$E$5:$E$5000,'Movimentações'!$B$5:$B$5000,A412,'Movimentações'!$D$5:$D$5000,"Saída"))</f>
        <v/>
      </c>
      <c r="K412" s="16">
        <f>IF(A412="","",G412+I412-J412)</f>
        <v/>
      </c>
      <c r="L412" s="14">
        <f>IF(A412="","",IF(K412&lt;=0,"SEM ESTOQUE",IF(K412&lt;=H412,"REPOR","OK")))</f>
        <v/>
      </c>
      <c r="M412" s="15">
        <f>IF(A412="","",MAX(K412,0)*E412)</f>
        <v/>
      </c>
      <c r="N412" s="16">
        <f>IF(A412="","",IF(K412&lt;=H412,MAX(2*H412-K412,0),0))</f>
        <v/>
      </c>
      <c r="O412" s="17">
        <f>IF(OR(A412="",F412=0,F412=""),"",(F412-E412)/F412)</f>
        <v/>
      </c>
    </row>
    <row r="413">
      <c r="A413" s="14" t="n"/>
      <c r="B413" s="14" t="n"/>
      <c r="C413" s="14" t="n"/>
      <c r="D413" s="14" t="n"/>
      <c r="E413" s="15" t="n"/>
      <c r="F413" s="15" t="n"/>
      <c r="G413" s="16" t="n"/>
      <c r="H413" s="16" t="n"/>
      <c r="I413" s="16">
        <f>IF(A413="","",SUMIFS('Movimentações'!$E$5:$E$5000,'Movimentações'!$B$5:$B$5000,A413,'Movimentações'!$D$5:$D$5000,"Entrada"))</f>
        <v/>
      </c>
      <c r="J413" s="16">
        <f>IF(A413="","",SUMIFS('Movimentações'!$E$5:$E$5000,'Movimentações'!$B$5:$B$5000,A413,'Movimentações'!$D$5:$D$5000,"Saída"))</f>
        <v/>
      </c>
      <c r="K413" s="16">
        <f>IF(A413="","",G413+I413-J413)</f>
        <v/>
      </c>
      <c r="L413" s="14">
        <f>IF(A413="","",IF(K413&lt;=0,"SEM ESTOQUE",IF(K413&lt;=H413,"REPOR","OK")))</f>
        <v/>
      </c>
      <c r="M413" s="15">
        <f>IF(A413="","",MAX(K413,0)*E413)</f>
        <v/>
      </c>
      <c r="N413" s="16">
        <f>IF(A413="","",IF(K413&lt;=H413,MAX(2*H413-K413,0),0))</f>
        <v/>
      </c>
      <c r="O413" s="17">
        <f>IF(OR(A413="",F413=0,F413=""),"",(F413-E413)/F413)</f>
        <v/>
      </c>
    </row>
    <row r="414">
      <c r="A414" s="14" t="n"/>
      <c r="B414" s="14" t="n"/>
      <c r="C414" s="14" t="n"/>
      <c r="D414" s="14" t="n"/>
      <c r="E414" s="15" t="n"/>
      <c r="F414" s="15" t="n"/>
      <c r="G414" s="16" t="n"/>
      <c r="H414" s="16" t="n"/>
      <c r="I414" s="16">
        <f>IF(A414="","",SUMIFS('Movimentações'!$E$5:$E$5000,'Movimentações'!$B$5:$B$5000,A414,'Movimentações'!$D$5:$D$5000,"Entrada"))</f>
        <v/>
      </c>
      <c r="J414" s="16">
        <f>IF(A414="","",SUMIFS('Movimentações'!$E$5:$E$5000,'Movimentações'!$B$5:$B$5000,A414,'Movimentações'!$D$5:$D$5000,"Saída"))</f>
        <v/>
      </c>
      <c r="K414" s="16">
        <f>IF(A414="","",G414+I414-J414)</f>
        <v/>
      </c>
      <c r="L414" s="14">
        <f>IF(A414="","",IF(K414&lt;=0,"SEM ESTOQUE",IF(K414&lt;=H414,"REPOR","OK")))</f>
        <v/>
      </c>
      <c r="M414" s="15">
        <f>IF(A414="","",MAX(K414,0)*E414)</f>
        <v/>
      </c>
      <c r="N414" s="16">
        <f>IF(A414="","",IF(K414&lt;=H414,MAX(2*H414-K414,0),0))</f>
        <v/>
      </c>
      <c r="O414" s="17">
        <f>IF(OR(A414="",F414=0,F414=""),"",(F414-E414)/F414)</f>
        <v/>
      </c>
    </row>
    <row r="415">
      <c r="A415" s="14" t="n"/>
      <c r="B415" s="14" t="n"/>
      <c r="C415" s="14" t="n"/>
      <c r="D415" s="14" t="n"/>
      <c r="E415" s="15" t="n"/>
      <c r="F415" s="15" t="n"/>
      <c r="G415" s="16" t="n"/>
      <c r="H415" s="16" t="n"/>
      <c r="I415" s="16">
        <f>IF(A415="","",SUMIFS('Movimentações'!$E$5:$E$5000,'Movimentações'!$B$5:$B$5000,A415,'Movimentações'!$D$5:$D$5000,"Entrada"))</f>
        <v/>
      </c>
      <c r="J415" s="16">
        <f>IF(A415="","",SUMIFS('Movimentações'!$E$5:$E$5000,'Movimentações'!$B$5:$B$5000,A415,'Movimentações'!$D$5:$D$5000,"Saída"))</f>
        <v/>
      </c>
      <c r="K415" s="16">
        <f>IF(A415="","",G415+I415-J415)</f>
        <v/>
      </c>
      <c r="L415" s="14">
        <f>IF(A415="","",IF(K415&lt;=0,"SEM ESTOQUE",IF(K415&lt;=H415,"REPOR","OK")))</f>
        <v/>
      </c>
      <c r="M415" s="15">
        <f>IF(A415="","",MAX(K415,0)*E415)</f>
        <v/>
      </c>
      <c r="N415" s="16">
        <f>IF(A415="","",IF(K415&lt;=H415,MAX(2*H415-K415,0),0))</f>
        <v/>
      </c>
      <c r="O415" s="17">
        <f>IF(OR(A415="",F415=0,F415=""),"",(F415-E415)/F415)</f>
        <v/>
      </c>
    </row>
    <row r="416">
      <c r="A416" s="14" t="n"/>
      <c r="B416" s="14" t="n"/>
      <c r="C416" s="14" t="n"/>
      <c r="D416" s="14" t="n"/>
      <c r="E416" s="15" t="n"/>
      <c r="F416" s="15" t="n"/>
      <c r="G416" s="16" t="n"/>
      <c r="H416" s="16" t="n"/>
      <c r="I416" s="16">
        <f>IF(A416="","",SUMIFS('Movimentações'!$E$5:$E$5000,'Movimentações'!$B$5:$B$5000,A416,'Movimentações'!$D$5:$D$5000,"Entrada"))</f>
        <v/>
      </c>
      <c r="J416" s="16">
        <f>IF(A416="","",SUMIFS('Movimentações'!$E$5:$E$5000,'Movimentações'!$B$5:$B$5000,A416,'Movimentações'!$D$5:$D$5000,"Saída"))</f>
        <v/>
      </c>
      <c r="K416" s="16">
        <f>IF(A416="","",G416+I416-J416)</f>
        <v/>
      </c>
      <c r="L416" s="14">
        <f>IF(A416="","",IF(K416&lt;=0,"SEM ESTOQUE",IF(K416&lt;=H416,"REPOR","OK")))</f>
        <v/>
      </c>
      <c r="M416" s="15">
        <f>IF(A416="","",MAX(K416,0)*E416)</f>
        <v/>
      </c>
      <c r="N416" s="16">
        <f>IF(A416="","",IF(K416&lt;=H416,MAX(2*H416-K416,0),0))</f>
        <v/>
      </c>
      <c r="O416" s="17">
        <f>IF(OR(A416="",F416=0,F416=""),"",(F416-E416)/F416)</f>
        <v/>
      </c>
    </row>
    <row r="417">
      <c r="A417" s="14" t="n"/>
      <c r="B417" s="14" t="n"/>
      <c r="C417" s="14" t="n"/>
      <c r="D417" s="14" t="n"/>
      <c r="E417" s="15" t="n"/>
      <c r="F417" s="15" t="n"/>
      <c r="G417" s="16" t="n"/>
      <c r="H417" s="16" t="n"/>
      <c r="I417" s="16">
        <f>IF(A417="","",SUMIFS('Movimentações'!$E$5:$E$5000,'Movimentações'!$B$5:$B$5000,A417,'Movimentações'!$D$5:$D$5000,"Entrada"))</f>
        <v/>
      </c>
      <c r="J417" s="16">
        <f>IF(A417="","",SUMIFS('Movimentações'!$E$5:$E$5000,'Movimentações'!$B$5:$B$5000,A417,'Movimentações'!$D$5:$D$5000,"Saída"))</f>
        <v/>
      </c>
      <c r="K417" s="16">
        <f>IF(A417="","",G417+I417-J417)</f>
        <v/>
      </c>
      <c r="L417" s="14">
        <f>IF(A417="","",IF(K417&lt;=0,"SEM ESTOQUE",IF(K417&lt;=H417,"REPOR","OK")))</f>
        <v/>
      </c>
      <c r="M417" s="15">
        <f>IF(A417="","",MAX(K417,0)*E417)</f>
        <v/>
      </c>
      <c r="N417" s="16">
        <f>IF(A417="","",IF(K417&lt;=H417,MAX(2*H417-K417,0),0))</f>
        <v/>
      </c>
      <c r="O417" s="17">
        <f>IF(OR(A417="",F417=0,F417=""),"",(F417-E417)/F417)</f>
        <v/>
      </c>
    </row>
    <row r="418">
      <c r="A418" s="14" t="n"/>
      <c r="B418" s="14" t="n"/>
      <c r="C418" s="14" t="n"/>
      <c r="D418" s="14" t="n"/>
      <c r="E418" s="15" t="n"/>
      <c r="F418" s="15" t="n"/>
      <c r="G418" s="16" t="n"/>
      <c r="H418" s="16" t="n"/>
      <c r="I418" s="16">
        <f>IF(A418="","",SUMIFS('Movimentações'!$E$5:$E$5000,'Movimentações'!$B$5:$B$5000,A418,'Movimentações'!$D$5:$D$5000,"Entrada"))</f>
        <v/>
      </c>
      <c r="J418" s="16">
        <f>IF(A418="","",SUMIFS('Movimentações'!$E$5:$E$5000,'Movimentações'!$B$5:$B$5000,A418,'Movimentações'!$D$5:$D$5000,"Saída"))</f>
        <v/>
      </c>
      <c r="K418" s="16">
        <f>IF(A418="","",G418+I418-J418)</f>
        <v/>
      </c>
      <c r="L418" s="14">
        <f>IF(A418="","",IF(K418&lt;=0,"SEM ESTOQUE",IF(K418&lt;=H418,"REPOR","OK")))</f>
        <v/>
      </c>
      <c r="M418" s="15">
        <f>IF(A418="","",MAX(K418,0)*E418)</f>
        <v/>
      </c>
      <c r="N418" s="16">
        <f>IF(A418="","",IF(K418&lt;=H418,MAX(2*H418-K418,0),0))</f>
        <v/>
      </c>
      <c r="O418" s="17">
        <f>IF(OR(A418="",F418=0,F418=""),"",(F418-E418)/F418)</f>
        <v/>
      </c>
    </row>
    <row r="419">
      <c r="A419" s="14" t="n"/>
      <c r="B419" s="14" t="n"/>
      <c r="C419" s="14" t="n"/>
      <c r="D419" s="14" t="n"/>
      <c r="E419" s="15" t="n"/>
      <c r="F419" s="15" t="n"/>
      <c r="G419" s="16" t="n"/>
      <c r="H419" s="16" t="n"/>
      <c r="I419" s="16">
        <f>IF(A419="","",SUMIFS('Movimentações'!$E$5:$E$5000,'Movimentações'!$B$5:$B$5000,A419,'Movimentações'!$D$5:$D$5000,"Entrada"))</f>
        <v/>
      </c>
      <c r="J419" s="16">
        <f>IF(A419="","",SUMIFS('Movimentações'!$E$5:$E$5000,'Movimentações'!$B$5:$B$5000,A419,'Movimentações'!$D$5:$D$5000,"Saída"))</f>
        <v/>
      </c>
      <c r="K419" s="16">
        <f>IF(A419="","",G419+I419-J419)</f>
        <v/>
      </c>
      <c r="L419" s="14">
        <f>IF(A419="","",IF(K419&lt;=0,"SEM ESTOQUE",IF(K419&lt;=H419,"REPOR","OK")))</f>
        <v/>
      </c>
      <c r="M419" s="15">
        <f>IF(A419="","",MAX(K419,0)*E419)</f>
        <v/>
      </c>
      <c r="N419" s="16">
        <f>IF(A419="","",IF(K419&lt;=H419,MAX(2*H419-K419,0),0))</f>
        <v/>
      </c>
      <c r="O419" s="17">
        <f>IF(OR(A419="",F419=0,F419=""),"",(F419-E419)/F419)</f>
        <v/>
      </c>
    </row>
    <row r="420">
      <c r="A420" s="14" t="n"/>
      <c r="B420" s="14" t="n"/>
      <c r="C420" s="14" t="n"/>
      <c r="D420" s="14" t="n"/>
      <c r="E420" s="15" t="n"/>
      <c r="F420" s="15" t="n"/>
      <c r="G420" s="16" t="n"/>
      <c r="H420" s="16" t="n"/>
      <c r="I420" s="16">
        <f>IF(A420="","",SUMIFS('Movimentações'!$E$5:$E$5000,'Movimentações'!$B$5:$B$5000,A420,'Movimentações'!$D$5:$D$5000,"Entrada"))</f>
        <v/>
      </c>
      <c r="J420" s="16">
        <f>IF(A420="","",SUMIFS('Movimentações'!$E$5:$E$5000,'Movimentações'!$B$5:$B$5000,A420,'Movimentações'!$D$5:$D$5000,"Saída"))</f>
        <v/>
      </c>
      <c r="K420" s="16">
        <f>IF(A420="","",G420+I420-J420)</f>
        <v/>
      </c>
      <c r="L420" s="14">
        <f>IF(A420="","",IF(K420&lt;=0,"SEM ESTOQUE",IF(K420&lt;=H420,"REPOR","OK")))</f>
        <v/>
      </c>
      <c r="M420" s="15">
        <f>IF(A420="","",MAX(K420,0)*E420)</f>
        <v/>
      </c>
      <c r="N420" s="16">
        <f>IF(A420="","",IF(K420&lt;=H420,MAX(2*H420-K420,0),0))</f>
        <v/>
      </c>
      <c r="O420" s="17">
        <f>IF(OR(A420="",F420=0,F420=""),"",(F420-E420)/F420)</f>
        <v/>
      </c>
    </row>
    <row r="421">
      <c r="A421" s="14" t="n"/>
      <c r="B421" s="14" t="n"/>
      <c r="C421" s="14" t="n"/>
      <c r="D421" s="14" t="n"/>
      <c r="E421" s="15" t="n"/>
      <c r="F421" s="15" t="n"/>
      <c r="G421" s="16" t="n"/>
      <c r="H421" s="16" t="n"/>
      <c r="I421" s="16">
        <f>IF(A421="","",SUMIFS('Movimentações'!$E$5:$E$5000,'Movimentações'!$B$5:$B$5000,A421,'Movimentações'!$D$5:$D$5000,"Entrada"))</f>
        <v/>
      </c>
      <c r="J421" s="16">
        <f>IF(A421="","",SUMIFS('Movimentações'!$E$5:$E$5000,'Movimentações'!$B$5:$B$5000,A421,'Movimentações'!$D$5:$D$5000,"Saída"))</f>
        <v/>
      </c>
      <c r="K421" s="16">
        <f>IF(A421="","",G421+I421-J421)</f>
        <v/>
      </c>
      <c r="L421" s="14">
        <f>IF(A421="","",IF(K421&lt;=0,"SEM ESTOQUE",IF(K421&lt;=H421,"REPOR","OK")))</f>
        <v/>
      </c>
      <c r="M421" s="15">
        <f>IF(A421="","",MAX(K421,0)*E421)</f>
        <v/>
      </c>
      <c r="N421" s="16">
        <f>IF(A421="","",IF(K421&lt;=H421,MAX(2*H421-K421,0),0))</f>
        <v/>
      </c>
      <c r="O421" s="17">
        <f>IF(OR(A421="",F421=0,F421=""),"",(F421-E421)/F421)</f>
        <v/>
      </c>
    </row>
    <row r="422">
      <c r="A422" s="14" t="n"/>
      <c r="B422" s="14" t="n"/>
      <c r="C422" s="14" t="n"/>
      <c r="D422" s="14" t="n"/>
      <c r="E422" s="15" t="n"/>
      <c r="F422" s="15" t="n"/>
      <c r="G422" s="16" t="n"/>
      <c r="H422" s="16" t="n"/>
      <c r="I422" s="16">
        <f>IF(A422="","",SUMIFS('Movimentações'!$E$5:$E$5000,'Movimentações'!$B$5:$B$5000,A422,'Movimentações'!$D$5:$D$5000,"Entrada"))</f>
        <v/>
      </c>
      <c r="J422" s="16">
        <f>IF(A422="","",SUMIFS('Movimentações'!$E$5:$E$5000,'Movimentações'!$B$5:$B$5000,A422,'Movimentações'!$D$5:$D$5000,"Saída"))</f>
        <v/>
      </c>
      <c r="K422" s="16">
        <f>IF(A422="","",G422+I422-J422)</f>
        <v/>
      </c>
      <c r="L422" s="14">
        <f>IF(A422="","",IF(K422&lt;=0,"SEM ESTOQUE",IF(K422&lt;=H422,"REPOR","OK")))</f>
        <v/>
      </c>
      <c r="M422" s="15">
        <f>IF(A422="","",MAX(K422,0)*E422)</f>
        <v/>
      </c>
      <c r="N422" s="16">
        <f>IF(A422="","",IF(K422&lt;=H422,MAX(2*H422-K422,0),0))</f>
        <v/>
      </c>
      <c r="O422" s="17">
        <f>IF(OR(A422="",F422=0,F422=""),"",(F422-E422)/F422)</f>
        <v/>
      </c>
    </row>
    <row r="423">
      <c r="A423" s="14" t="n"/>
      <c r="B423" s="14" t="n"/>
      <c r="C423" s="14" t="n"/>
      <c r="D423" s="14" t="n"/>
      <c r="E423" s="15" t="n"/>
      <c r="F423" s="15" t="n"/>
      <c r="G423" s="16" t="n"/>
      <c r="H423" s="16" t="n"/>
      <c r="I423" s="16">
        <f>IF(A423="","",SUMIFS('Movimentações'!$E$5:$E$5000,'Movimentações'!$B$5:$B$5000,A423,'Movimentações'!$D$5:$D$5000,"Entrada"))</f>
        <v/>
      </c>
      <c r="J423" s="16">
        <f>IF(A423="","",SUMIFS('Movimentações'!$E$5:$E$5000,'Movimentações'!$B$5:$B$5000,A423,'Movimentações'!$D$5:$D$5000,"Saída"))</f>
        <v/>
      </c>
      <c r="K423" s="16">
        <f>IF(A423="","",G423+I423-J423)</f>
        <v/>
      </c>
      <c r="L423" s="14">
        <f>IF(A423="","",IF(K423&lt;=0,"SEM ESTOQUE",IF(K423&lt;=H423,"REPOR","OK")))</f>
        <v/>
      </c>
      <c r="M423" s="15">
        <f>IF(A423="","",MAX(K423,0)*E423)</f>
        <v/>
      </c>
      <c r="N423" s="16">
        <f>IF(A423="","",IF(K423&lt;=H423,MAX(2*H423-K423,0),0))</f>
        <v/>
      </c>
      <c r="O423" s="17">
        <f>IF(OR(A423="",F423=0,F423=""),"",(F423-E423)/F423)</f>
        <v/>
      </c>
    </row>
    <row r="424">
      <c r="A424" s="14" t="n"/>
      <c r="B424" s="14" t="n"/>
      <c r="C424" s="14" t="n"/>
      <c r="D424" s="14" t="n"/>
      <c r="E424" s="15" t="n"/>
      <c r="F424" s="15" t="n"/>
      <c r="G424" s="16" t="n"/>
      <c r="H424" s="16" t="n"/>
      <c r="I424" s="16">
        <f>IF(A424="","",SUMIFS('Movimentações'!$E$5:$E$5000,'Movimentações'!$B$5:$B$5000,A424,'Movimentações'!$D$5:$D$5000,"Entrada"))</f>
        <v/>
      </c>
      <c r="J424" s="16">
        <f>IF(A424="","",SUMIFS('Movimentações'!$E$5:$E$5000,'Movimentações'!$B$5:$B$5000,A424,'Movimentações'!$D$5:$D$5000,"Saída"))</f>
        <v/>
      </c>
      <c r="K424" s="16">
        <f>IF(A424="","",G424+I424-J424)</f>
        <v/>
      </c>
      <c r="L424" s="14">
        <f>IF(A424="","",IF(K424&lt;=0,"SEM ESTOQUE",IF(K424&lt;=H424,"REPOR","OK")))</f>
        <v/>
      </c>
      <c r="M424" s="15">
        <f>IF(A424="","",MAX(K424,0)*E424)</f>
        <v/>
      </c>
      <c r="N424" s="16">
        <f>IF(A424="","",IF(K424&lt;=H424,MAX(2*H424-K424,0),0))</f>
        <v/>
      </c>
      <c r="O424" s="17">
        <f>IF(OR(A424="",F424=0,F424=""),"",(F424-E424)/F424)</f>
        <v/>
      </c>
    </row>
    <row r="425">
      <c r="A425" s="14" t="n"/>
      <c r="B425" s="14" t="n"/>
      <c r="C425" s="14" t="n"/>
      <c r="D425" s="14" t="n"/>
      <c r="E425" s="15" t="n"/>
      <c r="F425" s="15" t="n"/>
      <c r="G425" s="16" t="n"/>
      <c r="H425" s="16" t="n"/>
      <c r="I425" s="16">
        <f>IF(A425="","",SUMIFS('Movimentações'!$E$5:$E$5000,'Movimentações'!$B$5:$B$5000,A425,'Movimentações'!$D$5:$D$5000,"Entrada"))</f>
        <v/>
      </c>
      <c r="J425" s="16">
        <f>IF(A425="","",SUMIFS('Movimentações'!$E$5:$E$5000,'Movimentações'!$B$5:$B$5000,A425,'Movimentações'!$D$5:$D$5000,"Saída"))</f>
        <v/>
      </c>
      <c r="K425" s="16">
        <f>IF(A425="","",G425+I425-J425)</f>
        <v/>
      </c>
      <c r="L425" s="14">
        <f>IF(A425="","",IF(K425&lt;=0,"SEM ESTOQUE",IF(K425&lt;=H425,"REPOR","OK")))</f>
        <v/>
      </c>
      <c r="M425" s="15">
        <f>IF(A425="","",MAX(K425,0)*E425)</f>
        <v/>
      </c>
      <c r="N425" s="16">
        <f>IF(A425="","",IF(K425&lt;=H425,MAX(2*H425-K425,0),0))</f>
        <v/>
      </c>
      <c r="O425" s="17">
        <f>IF(OR(A425="",F425=0,F425=""),"",(F425-E425)/F425)</f>
        <v/>
      </c>
    </row>
    <row r="426">
      <c r="A426" s="14" t="n"/>
      <c r="B426" s="14" t="n"/>
      <c r="C426" s="14" t="n"/>
      <c r="D426" s="14" t="n"/>
      <c r="E426" s="15" t="n"/>
      <c r="F426" s="15" t="n"/>
      <c r="G426" s="16" t="n"/>
      <c r="H426" s="16" t="n"/>
      <c r="I426" s="16">
        <f>IF(A426="","",SUMIFS('Movimentações'!$E$5:$E$5000,'Movimentações'!$B$5:$B$5000,A426,'Movimentações'!$D$5:$D$5000,"Entrada"))</f>
        <v/>
      </c>
      <c r="J426" s="16">
        <f>IF(A426="","",SUMIFS('Movimentações'!$E$5:$E$5000,'Movimentações'!$B$5:$B$5000,A426,'Movimentações'!$D$5:$D$5000,"Saída"))</f>
        <v/>
      </c>
      <c r="K426" s="16">
        <f>IF(A426="","",G426+I426-J426)</f>
        <v/>
      </c>
      <c r="L426" s="14">
        <f>IF(A426="","",IF(K426&lt;=0,"SEM ESTOQUE",IF(K426&lt;=H426,"REPOR","OK")))</f>
        <v/>
      </c>
      <c r="M426" s="15">
        <f>IF(A426="","",MAX(K426,0)*E426)</f>
        <v/>
      </c>
      <c r="N426" s="16">
        <f>IF(A426="","",IF(K426&lt;=H426,MAX(2*H426-K426,0),0))</f>
        <v/>
      </c>
      <c r="O426" s="17">
        <f>IF(OR(A426="",F426=0,F426=""),"",(F426-E426)/F426)</f>
        <v/>
      </c>
    </row>
    <row r="427">
      <c r="A427" s="14" t="n"/>
      <c r="B427" s="14" t="n"/>
      <c r="C427" s="14" t="n"/>
      <c r="D427" s="14" t="n"/>
      <c r="E427" s="15" t="n"/>
      <c r="F427" s="15" t="n"/>
      <c r="G427" s="16" t="n"/>
      <c r="H427" s="16" t="n"/>
      <c r="I427" s="16">
        <f>IF(A427="","",SUMIFS('Movimentações'!$E$5:$E$5000,'Movimentações'!$B$5:$B$5000,A427,'Movimentações'!$D$5:$D$5000,"Entrada"))</f>
        <v/>
      </c>
      <c r="J427" s="16">
        <f>IF(A427="","",SUMIFS('Movimentações'!$E$5:$E$5000,'Movimentações'!$B$5:$B$5000,A427,'Movimentações'!$D$5:$D$5000,"Saída"))</f>
        <v/>
      </c>
      <c r="K427" s="16">
        <f>IF(A427="","",G427+I427-J427)</f>
        <v/>
      </c>
      <c r="L427" s="14">
        <f>IF(A427="","",IF(K427&lt;=0,"SEM ESTOQUE",IF(K427&lt;=H427,"REPOR","OK")))</f>
        <v/>
      </c>
      <c r="M427" s="15">
        <f>IF(A427="","",MAX(K427,0)*E427)</f>
        <v/>
      </c>
      <c r="N427" s="16">
        <f>IF(A427="","",IF(K427&lt;=H427,MAX(2*H427-K427,0),0))</f>
        <v/>
      </c>
      <c r="O427" s="17">
        <f>IF(OR(A427="",F427=0,F427=""),"",(F427-E427)/F427)</f>
        <v/>
      </c>
    </row>
    <row r="428">
      <c r="A428" s="14" t="n"/>
      <c r="B428" s="14" t="n"/>
      <c r="C428" s="14" t="n"/>
      <c r="D428" s="14" t="n"/>
      <c r="E428" s="15" t="n"/>
      <c r="F428" s="15" t="n"/>
      <c r="G428" s="16" t="n"/>
      <c r="H428" s="16" t="n"/>
      <c r="I428" s="16">
        <f>IF(A428="","",SUMIFS('Movimentações'!$E$5:$E$5000,'Movimentações'!$B$5:$B$5000,A428,'Movimentações'!$D$5:$D$5000,"Entrada"))</f>
        <v/>
      </c>
      <c r="J428" s="16">
        <f>IF(A428="","",SUMIFS('Movimentações'!$E$5:$E$5000,'Movimentações'!$B$5:$B$5000,A428,'Movimentações'!$D$5:$D$5000,"Saída"))</f>
        <v/>
      </c>
      <c r="K428" s="16">
        <f>IF(A428="","",G428+I428-J428)</f>
        <v/>
      </c>
      <c r="L428" s="14">
        <f>IF(A428="","",IF(K428&lt;=0,"SEM ESTOQUE",IF(K428&lt;=H428,"REPOR","OK")))</f>
        <v/>
      </c>
      <c r="M428" s="15">
        <f>IF(A428="","",MAX(K428,0)*E428)</f>
        <v/>
      </c>
      <c r="N428" s="16">
        <f>IF(A428="","",IF(K428&lt;=H428,MAX(2*H428-K428,0),0))</f>
        <v/>
      </c>
      <c r="O428" s="17">
        <f>IF(OR(A428="",F428=0,F428=""),"",(F428-E428)/F428)</f>
        <v/>
      </c>
    </row>
    <row r="429">
      <c r="A429" s="14" t="n"/>
      <c r="B429" s="14" t="n"/>
      <c r="C429" s="14" t="n"/>
      <c r="D429" s="14" t="n"/>
      <c r="E429" s="15" t="n"/>
      <c r="F429" s="15" t="n"/>
      <c r="G429" s="16" t="n"/>
      <c r="H429" s="16" t="n"/>
      <c r="I429" s="16">
        <f>IF(A429="","",SUMIFS('Movimentações'!$E$5:$E$5000,'Movimentações'!$B$5:$B$5000,A429,'Movimentações'!$D$5:$D$5000,"Entrada"))</f>
        <v/>
      </c>
      <c r="J429" s="16">
        <f>IF(A429="","",SUMIFS('Movimentações'!$E$5:$E$5000,'Movimentações'!$B$5:$B$5000,A429,'Movimentações'!$D$5:$D$5000,"Saída"))</f>
        <v/>
      </c>
      <c r="K429" s="16">
        <f>IF(A429="","",G429+I429-J429)</f>
        <v/>
      </c>
      <c r="L429" s="14">
        <f>IF(A429="","",IF(K429&lt;=0,"SEM ESTOQUE",IF(K429&lt;=H429,"REPOR","OK")))</f>
        <v/>
      </c>
      <c r="M429" s="15">
        <f>IF(A429="","",MAX(K429,0)*E429)</f>
        <v/>
      </c>
      <c r="N429" s="16">
        <f>IF(A429="","",IF(K429&lt;=H429,MAX(2*H429-K429,0),0))</f>
        <v/>
      </c>
      <c r="O429" s="17">
        <f>IF(OR(A429="",F429=0,F429=""),"",(F429-E429)/F429)</f>
        <v/>
      </c>
    </row>
    <row r="430">
      <c r="A430" s="14" t="n"/>
      <c r="B430" s="14" t="n"/>
      <c r="C430" s="14" t="n"/>
      <c r="D430" s="14" t="n"/>
      <c r="E430" s="15" t="n"/>
      <c r="F430" s="15" t="n"/>
      <c r="G430" s="16" t="n"/>
      <c r="H430" s="16" t="n"/>
      <c r="I430" s="16">
        <f>IF(A430="","",SUMIFS('Movimentações'!$E$5:$E$5000,'Movimentações'!$B$5:$B$5000,A430,'Movimentações'!$D$5:$D$5000,"Entrada"))</f>
        <v/>
      </c>
      <c r="J430" s="16">
        <f>IF(A430="","",SUMIFS('Movimentações'!$E$5:$E$5000,'Movimentações'!$B$5:$B$5000,A430,'Movimentações'!$D$5:$D$5000,"Saída"))</f>
        <v/>
      </c>
      <c r="K430" s="16">
        <f>IF(A430="","",G430+I430-J430)</f>
        <v/>
      </c>
      <c r="L430" s="14">
        <f>IF(A430="","",IF(K430&lt;=0,"SEM ESTOQUE",IF(K430&lt;=H430,"REPOR","OK")))</f>
        <v/>
      </c>
      <c r="M430" s="15">
        <f>IF(A430="","",MAX(K430,0)*E430)</f>
        <v/>
      </c>
      <c r="N430" s="16">
        <f>IF(A430="","",IF(K430&lt;=H430,MAX(2*H430-K430,0),0))</f>
        <v/>
      </c>
      <c r="O430" s="17">
        <f>IF(OR(A430="",F430=0,F430=""),"",(F430-E430)/F430)</f>
        <v/>
      </c>
    </row>
    <row r="431">
      <c r="A431" s="14" t="n"/>
      <c r="B431" s="14" t="n"/>
      <c r="C431" s="14" t="n"/>
      <c r="D431" s="14" t="n"/>
      <c r="E431" s="15" t="n"/>
      <c r="F431" s="15" t="n"/>
      <c r="G431" s="16" t="n"/>
      <c r="H431" s="16" t="n"/>
      <c r="I431" s="16">
        <f>IF(A431="","",SUMIFS('Movimentações'!$E$5:$E$5000,'Movimentações'!$B$5:$B$5000,A431,'Movimentações'!$D$5:$D$5000,"Entrada"))</f>
        <v/>
      </c>
      <c r="J431" s="16">
        <f>IF(A431="","",SUMIFS('Movimentações'!$E$5:$E$5000,'Movimentações'!$B$5:$B$5000,A431,'Movimentações'!$D$5:$D$5000,"Saída"))</f>
        <v/>
      </c>
      <c r="K431" s="16">
        <f>IF(A431="","",G431+I431-J431)</f>
        <v/>
      </c>
      <c r="L431" s="14">
        <f>IF(A431="","",IF(K431&lt;=0,"SEM ESTOQUE",IF(K431&lt;=H431,"REPOR","OK")))</f>
        <v/>
      </c>
      <c r="M431" s="15">
        <f>IF(A431="","",MAX(K431,0)*E431)</f>
        <v/>
      </c>
      <c r="N431" s="16">
        <f>IF(A431="","",IF(K431&lt;=H431,MAX(2*H431-K431,0),0))</f>
        <v/>
      </c>
      <c r="O431" s="17">
        <f>IF(OR(A431="",F431=0,F431=""),"",(F431-E431)/F431)</f>
        <v/>
      </c>
    </row>
    <row r="432">
      <c r="A432" s="14" t="n"/>
      <c r="B432" s="14" t="n"/>
      <c r="C432" s="14" t="n"/>
      <c r="D432" s="14" t="n"/>
      <c r="E432" s="15" t="n"/>
      <c r="F432" s="15" t="n"/>
      <c r="G432" s="16" t="n"/>
      <c r="H432" s="16" t="n"/>
      <c r="I432" s="16">
        <f>IF(A432="","",SUMIFS('Movimentações'!$E$5:$E$5000,'Movimentações'!$B$5:$B$5000,A432,'Movimentações'!$D$5:$D$5000,"Entrada"))</f>
        <v/>
      </c>
      <c r="J432" s="16">
        <f>IF(A432="","",SUMIFS('Movimentações'!$E$5:$E$5000,'Movimentações'!$B$5:$B$5000,A432,'Movimentações'!$D$5:$D$5000,"Saída"))</f>
        <v/>
      </c>
      <c r="K432" s="16">
        <f>IF(A432="","",G432+I432-J432)</f>
        <v/>
      </c>
      <c r="L432" s="14">
        <f>IF(A432="","",IF(K432&lt;=0,"SEM ESTOQUE",IF(K432&lt;=H432,"REPOR","OK")))</f>
        <v/>
      </c>
      <c r="M432" s="15">
        <f>IF(A432="","",MAX(K432,0)*E432)</f>
        <v/>
      </c>
      <c r="N432" s="16">
        <f>IF(A432="","",IF(K432&lt;=H432,MAX(2*H432-K432,0),0))</f>
        <v/>
      </c>
      <c r="O432" s="17">
        <f>IF(OR(A432="",F432=0,F432=""),"",(F432-E432)/F432)</f>
        <v/>
      </c>
    </row>
    <row r="433">
      <c r="A433" s="14" t="n"/>
      <c r="B433" s="14" t="n"/>
      <c r="C433" s="14" t="n"/>
      <c r="D433" s="14" t="n"/>
      <c r="E433" s="15" t="n"/>
      <c r="F433" s="15" t="n"/>
      <c r="G433" s="16" t="n"/>
      <c r="H433" s="16" t="n"/>
      <c r="I433" s="16">
        <f>IF(A433="","",SUMIFS('Movimentações'!$E$5:$E$5000,'Movimentações'!$B$5:$B$5000,A433,'Movimentações'!$D$5:$D$5000,"Entrada"))</f>
        <v/>
      </c>
      <c r="J433" s="16">
        <f>IF(A433="","",SUMIFS('Movimentações'!$E$5:$E$5000,'Movimentações'!$B$5:$B$5000,A433,'Movimentações'!$D$5:$D$5000,"Saída"))</f>
        <v/>
      </c>
      <c r="K433" s="16">
        <f>IF(A433="","",G433+I433-J433)</f>
        <v/>
      </c>
      <c r="L433" s="14">
        <f>IF(A433="","",IF(K433&lt;=0,"SEM ESTOQUE",IF(K433&lt;=H433,"REPOR","OK")))</f>
        <v/>
      </c>
      <c r="M433" s="15">
        <f>IF(A433="","",MAX(K433,0)*E433)</f>
        <v/>
      </c>
      <c r="N433" s="16">
        <f>IF(A433="","",IF(K433&lt;=H433,MAX(2*H433-K433,0),0))</f>
        <v/>
      </c>
      <c r="O433" s="17">
        <f>IF(OR(A433="",F433=0,F433=""),"",(F433-E433)/F433)</f>
        <v/>
      </c>
    </row>
    <row r="434">
      <c r="A434" s="14" t="n"/>
      <c r="B434" s="14" t="n"/>
      <c r="C434" s="14" t="n"/>
      <c r="D434" s="14" t="n"/>
      <c r="E434" s="15" t="n"/>
      <c r="F434" s="15" t="n"/>
      <c r="G434" s="16" t="n"/>
      <c r="H434" s="16" t="n"/>
      <c r="I434" s="16">
        <f>IF(A434="","",SUMIFS('Movimentações'!$E$5:$E$5000,'Movimentações'!$B$5:$B$5000,A434,'Movimentações'!$D$5:$D$5000,"Entrada"))</f>
        <v/>
      </c>
      <c r="J434" s="16">
        <f>IF(A434="","",SUMIFS('Movimentações'!$E$5:$E$5000,'Movimentações'!$B$5:$B$5000,A434,'Movimentações'!$D$5:$D$5000,"Saída"))</f>
        <v/>
      </c>
      <c r="K434" s="16">
        <f>IF(A434="","",G434+I434-J434)</f>
        <v/>
      </c>
      <c r="L434" s="14">
        <f>IF(A434="","",IF(K434&lt;=0,"SEM ESTOQUE",IF(K434&lt;=H434,"REPOR","OK")))</f>
        <v/>
      </c>
      <c r="M434" s="15">
        <f>IF(A434="","",MAX(K434,0)*E434)</f>
        <v/>
      </c>
      <c r="N434" s="16">
        <f>IF(A434="","",IF(K434&lt;=H434,MAX(2*H434-K434,0),0))</f>
        <v/>
      </c>
      <c r="O434" s="17">
        <f>IF(OR(A434="",F434=0,F434=""),"",(F434-E434)/F434)</f>
        <v/>
      </c>
    </row>
    <row r="435">
      <c r="A435" s="14" t="n"/>
      <c r="B435" s="14" t="n"/>
      <c r="C435" s="14" t="n"/>
      <c r="D435" s="14" t="n"/>
      <c r="E435" s="15" t="n"/>
      <c r="F435" s="15" t="n"/>
      <c r="G435" s="16" t="n"/>
      <c r="H435" s="16" t="n"/>
      <c r="I435" s="16">
        <f>IF(A435="","",SUMIFS('Movimentações'!$E$5:$E$5000,'Movimentações'!$B$5:$B$5000,A435,'Movimentações'!$D$5:$D$5000,"Entrada"))</f>
        <v/>
      </c>
      <c r="J435" s="16">
        <f>IF(A435="","",SUMIFS('Movimentações'!$E$5:$E$5000,'Movimentações'!$B$5:$B$5000,A435,'Movimentações'!$D$5:$D$5000,"Saída"))</f>
        <v/>
      </c>
      <c r="K435" s="16">
        <f>IF(A435="","",G435+I435-J435)</f>
        <v/>
      </c>
      <c r="L435" s="14">
        <f>IF(A435="","",IF(K435&lt;=0,"SEM ESTOQUE",IF(K435&lt;=H435,"REPOR","OK")))</f>
        <v/>
      </c>
      <c r="M435" s="15">
        <f>IF(A435="","",MAX(K435,0)*E435)</f>
        <v/>
      </c>
      <c r="N435" s="16">
        <f>IF(A435="","",IF(K435&lt;=H435,MAX(2*H435-K435,0),0))</f>
        <v/>
      </c>
      <c r="O435" s="17">
        <f>IF(OR(A435="",F435=0,F435=""),"",(F435-E435)/F435)</f>
        <v/>
      </c>
    </row>
    <row r="436">
      <c r="A436" s="14" t="n"/>
      <c r="B436" s="14" t="n"/>
      <c r="C436" s="14" t="n"/>
      <c r="D436" s="14" t="n"/>
      <c r="E436" s="15" t="n"/>
      <c r="F436" s="15" t="n"/>
      <c r="G436" s="16" t="n"/>
      <c r="H436" s="16" t="n"/>
      <c r="I436" s="16">
        <f>IF(A436="","",SUMIFS('Movimentações'!$E$5:$E$5000,'Movimentações'!$B$5:$B$5000,A436,'Movimentações'!$D$5:$D$5000,"Entrada"))</f>
        <v/>
      </c>
      <c r="J436" s="16">
        <f>IF(A436="","",SUMIFS('Movimentações'!$E$5:$E$5000,'Movimentações'!$B$5:$B$5000,A436,'Movimentações'!$D$5:$D$5000,"Saída"))</f>
        <v/>
      </c>
      <c r="K436" s="16">
        <f>IF(A436="","",G436+I436-J436)</f>
        <v/>
      </c>
      <c r="L436" s="14">
        <f>IF(A436="","",IF(K436&lt;=0,"SEM ESTOQUE",IF(K436&lt;=H436,"REPOR","OK")))</f>
        <v/>
      </c>
      <c r="M436" s="15">
        <f>IF(A436="","",MAX(K436,0)*E436)</f>
        <v/>
      </c>
      <c r="N436" s="16">
        <f>IF(A436="","",IF(K436&lt;=H436,MAX(2*H436-K436,0),0))</f>
        <v/>
      </c>
      <c r="O436" s="17">
        <f>IF(OR(A436="",F436=0,F436=""),"",(F436-E436)/F436)</f>
        <v/>
      </c>
    </row>
    <row r="437">
      <c r="A437" s="14" t="n"/>
      <c r="B437" s="14" t="n"/>
      <c r="C437" s="14" t="n"/>
      <c r="D437" s="14" t="n"/>
      <c r="E437" s="15" t="n"/>
      <c r="F437" s="15" t="n"/>
      <c r="G437" s="16" t="n"/>
      <c r="H437" s="16" t="n"/>
      <c r="I437" s="16">
        <f>IF(A437="","",SUMIFS('Movimentações'!$E$5:$E$5000,'Movimentações'!$B$5:$B$5000,A437,'Movimentações'!$D$5:$D$5000,"Entrada"))</f>
        <v/>
      </c>
      <c r="J437" s="16">
        <f>IF(A437="","",SUMIFS('Movimentações'!$E$5:$E$5000,'Movimentações'!$B$5:$B$5000,A437,'Movimentações'!$D$5:$D$5000,"Saída"))</f>
        <v/>
      </c>
      <c r="K437" s="16">
        <f>IF(A437="","",G437+I437-J437)</f>
        <v/>
      </c>
      <c r="L437" s="14">
        <f>IF(A437="","",IF(K437&lt;=0,"SEM ESTOQUE",IF(K437&lt;=H437,"REPOR","OK")))</f>
        <v/>
      </c>
      <c r="M437" s="15">
        <f>IF(A437="","",MAX(K437,0)*E437)</f>
        <v/>
      </c>
      <c r="N437" s="16">
        <f>IF(A437="","",IF(K437&lt;=H437,MAX(2*H437-K437,0),0))</f>
        <v/>
      </c>
      <c r="O437" s="17">
        <f>IF(OR(A437="",F437=0,F437=""),"",(F437-E437)/F437)</f>
        <v/>
      </c>
    </row>
    <row r="438">
      <c r="A438" s="14" t="n"/>
      <c r="B438" s="14" t="n"/>
      <c r="C438" s="14" t="n"/>
      <c r="D438" s="14" t="n"/>
      <c r="E438" s="15" t="n"/>
      <c r="F438" s="15" t="n"/>
      <c r="G438" s="16" t="n"/>
      <c r="H438" s="16" t="n"/>
      <c r="I438" s="16">
        <f>IF(A438="","",SUMIFS('Movimentações'!$E$5:$E$5000,'Movimentações'!$B$5:$B$5000,A438,'Movimentações'!$D$5:$D$5000,"Entrada"))</f>
        <v/>
      </c>
      <c r="J438" s="16">
        <f>IF(A438="","",SUMIFS('Movimentações'!$E$5:$E$5000,'Movimentações'!$B$5:$B$5000,A438,'Movimentações'!$D$5:$D$5000,"Saída"))</f>
        <v/>
      </c>
      <c r="K438" s="16">
        <f>IF(A438="","",G438+I438-J438)</f>
        <v/>
      </c>
      <c r="L438" s="14">
        <f>IF(A438="","",IF(K438&lt;=0,"SEM ESTOQUE",IF(K438&lt;=H438,"REPOR","OK")))</f>
        <v/>
      </c>
      <c r="M438" s="15">
        <f>IF(A438="","",MAX(K438,0)*E438)</f>
        <v/>
      </c>
      <c r="N438" s="16">
        <f>IF(A438="","",IF(K438&lt;=H438,MAX(2*H438-K438,0),0))</f>
        <v/>
      </c>
      <c r="O438" s="17">
        <f>IF(OR(A438="",F438=0,F438=""),"",(F438-E438)/F438)</f>
        <v/>
      </c>
    </row>
    <row r="439">
      <c r="A439" s="14" t="n"/>
      <c r="B439" s="14" t="n"/>
      <c r="C439" s="14" t="n"/>
      <c r="D439" s="14" t="n"/>
      <c r="E439" s="15" t="n"/>
      <c r="F439" s="15" t="n"/>
      <c r="G439" s="16" t="n"/>
      <c r="H439" s="16" t="n"/>
      <c r="I439" s="16">
        <f>IF(A439="","",SUMIFS('Movimentações'!$E$5:$E$5000,'Movimentações'!$B$5:$B$5000,A439,'Movimentações'!$D$5:$D$5000,"Entrada"))</f>
        <v/>
      </c>
      <c r="J439" s="16">
        <f>IF(A439="","",SUMIFS('Movimentações'!$E$5:$E$5000,'Movimentações'!$B$5:$B$5000,A439,'Movimentações'!$D$5:$D$5000,"Saída"))</f>
        <v/>
      </c>
      <c r="K439" s="16">
        <f>IF(A439="","",G439+I439-J439)</f>
        <v/>
      </c>
      <c r="L439" s="14">
        <f>IF(A439="","",IF(K439&lt;=0,"SEM ESTOQUE",IF(K439&lt;=H439,"REPOR","OK")))</f>
        <v/>
      </c>
      <c r="M439" s="15">
        <f>IF(A439="","",MAX(K439,0)*E439)</f>
        <v/>
      </c>
      <c r="N439" s="16">
        <f>IF(A439="","",IF(K439&lt;=H439,MAX(2*H439-K439,0),0))</f>
        <v/>
      </c>
      <c r="O439" s="17">
        <f>IF(OR(A439="",F439=0,F439=""),"",(F439-E439)/F439)</f>
        <v/>
      </c>
    </row>
    <row r="440">
      <c r="A440" s="14" t="n"/>
      <c r="B440" s="14" t="n"/>
      <c r="C440" s="14" t="n"/>
      <c r="D440" s="14" t="n"/>
      <c r="E440" s="15" t="n"/>
      <c r="F440" s="15" t="n"/>
      <c r="G440" s="16" t="n"/>
      <c r="H440" s="16" t="n"/>
      <c r="I440" s="16">
        <f>IF(A440="","",SUMIFS('Movimentações'!$E$5:$E$5000,'Movimentações'!$B$5:$B$5000,A440,'Movimentações'!$D$5:$D$5000,"Entrada"))</f>
        <v/>
      </c>
      <c r="J440" s="16">
        <f>IF(A440="","",SUMIFS('Movimentações'!$E$5:$E$5000,'Movimentações'!$B$5:$B$5000,A440,'Movimentações'!$D$5:$D$5000,"Saída"))</f>
        <v/>
      </c>
      <c r="K440" s="16">
        <f>IF(A440="","",G440+I440-J440)</f>
        <v/>
      </c>
      <c r="L440" s="14">
        <f>IF(A440="","",IF(K440&lt;=0,"SEM ESTOQUE",IF(K440&lt;=H440,"REPOR","OK")))</f>
        <v/>
      </c>
      <c r="M440" s="15">
        <f>IF(A440="","",MAX(K440,0)*E440)</f>
        <v/>
      </c>
      <c r="N440" s="16">
        <f>IF(A440="","",IF(K440&lt;=H440,MAX(2*H440-K440,0),0))</f>
        <v/>
      </c>
      <c r="O440" s="17">
        <f>IF(OR(A440="",F440=0,F440=""),"",(F440-E440)/F440)</f>
        <v/>
      </c>
    </row>
    <row r="441">
      <c r="A441" s="14" t="n"/>
      <c r="B441" s="14" t="n"/>
      <c r="C441" s="14" t="n"/>
      <c r="D441" s="14" t="n"/>
      <c r="E441" s="15" t="n"/>
      <c r="F441" s="15" t="n"/>
      <c r="G441" s="16" t="n"/>
      <c r="H441" s="16" t="n"/>
      <c r="I441" s="16">
        <f>IF(A441="","",SUMIFS('Movimentações'!$E$5:$E$5000,'Movimentações'!$B$5:$B$5000,A441,'Movimentações'!$D$5:$D$5000,"Entrada"))</f>
        <v/>
      </c>
      <c r="J441" s="16">
        <f>IF(A441="","",SUMIFS('Movimentações'!$E$5:$E$5000,'Movimentações'!$B$5:$B$5000,A441,'Movimentações'!$D$5:$D$5000,"Saída"))</f>
        <v/>
      </c>
      <c r="K441" s="16">
        <f>IF(A441="","",G441+I441-J441)</f>
        <v/>
      </c>
      <c r="L441" s="14">
        <f>IF(A441="","",IF(K441&lt;=0,"SEM ESTOQUE",IF(K441&lt;=H441,"REPOR","OK")))</f>
        <v/>
      </c>
      <c r="M441" s="15">
        <f>IF(A441="","",MAX(K441,0)*E441)</f>
        <v/>
      </c>
      <c r="N441" s="16">
        <f>IF(A441="","",IF(K441&lt;=H441,MAX(2*H441-K441,0),0))</f>
        <v/>
      </c>
      <c r="O441" s="17">
        <f>IF(OR(A441="",F441=0,F441=""),"",(F441-E441)/F441)</f>
        <v/>
      </c>
    </row>
    <row r="442">
      <c r="A442" s="14" t="n"/>
      <c r="B442" s="14" t="n"/>
      <c r="C442" s="14" t="n"/>
      <c r="D442" s="14" t="n"/>
      <c r="E442" s="15" t="n"/>
      <c r="F442" s="15" t="n"/>
      <c r="G442" s="16" t="n"/>
      <c r="H442" s="16" t="n"/>
      <c r="I442" s="16">
        <f>IF(A442="","",SUMIFS('Movimentações'!$E$5:$E$5000,'Movimentações'!$B$5:$B$5000,A442,'Movimentações'!$D$5:$D$5000,"Entrada"))</f>
        <v/>
      </c>
      <c r="J442" s="16">
        <f>IF(A442="","",SUMIFS('Movimentações'!$E$5:$E$5000,'Movimentações'!$B$5:$B$5000,A442,'Movimentações'!$D$5:$D$5000,"Saída"))</f>
        <v/>
      </c>
      <c r="K442" s="16">
        <f>IF(A442="","",G442+I442-J442)</f>
        <v/>
      </c>
      <c r="L442" s="14">
        <f>IF(A442="","",IF(K442&lt;=0,"SEM ESTOQUE",IF(K442&lt;=H442,"REPOR","OK")))</f>
        <v/>
      </c>
      <c r="M442" s="15">
        <f>IF(A442="","",MAX(K442,0)*E442)</f>
        <v/>
      </c>
      <c r="N442" s="16">
        <f>IF(A442="","",IF(K442&lt;=H442,MAX(2*H442-K442,0),0))</f>
        <v/>
      </c>
      <c r="O442" s="17">
        <f>IF(OR(A442="",F442=0,F442=""),"",(F442-E442)/F442)</f>
        <v/>
      </c>
    </row>
    <row r="443">
      <c r="A443" s="14" t="n"/>
      <c r="B443" s="14" t="n"/>
      <c r="C443" s="14" t="n"/>
      <c r="D443" s="14" t="n"/>
      <c r="E443" s="15" t="n"/>
      <c r="F443" s="15" t="n"/>
      <c r="G443" s="16" t="n"/>
      <c r="H443" s="16" t="n"/>
      <c r="I443" s="16">
        <f>IF(A443="","",SUMIFS('Movimentações'!$E$5:$E$5000,'Movimentações'!$B$5:$B$5000,A443,'Movimentações'!$D$5:$D$5000,"Entrada"))</f>
        <v/>
      </c>
      <c r="J443" s="16">
        <f>IF(A443="","",SUMIFS('Movimentações'!$E$5:$E$5000,'Movimentações'!$B$5:$B$5000,A443,'Movimentações'!$D$5:$D$5000,"Saída"))</f>
        <v/>
      </c>
      <c r="K443" s="16">
        <f>IF(A443="","",G443+I443-J443)</f>
        <v/>
      </c>
      <c r="L443" s="14">
        <f>IF(A443="","",IF(K443&lt;=0,"SEM ESTOQUE",IF(K443&lt;=H443,"REPOR","OK")))</f>
        <v/>
      </c>
      <c r="M443" s="15">
        <f>IF(A443="","",MAX(K443,0)*E443)</f>
        <v/>
      </c>
      <c r="N443" s="16">
        <f>IF(A443="","",IF(K443&lt;=H443,MAX(2*H443-K443,0),0))</f>
        <v/>
      </c>
      <c r="O443" s="17">
        <f>IF(OR(A443="",F443=0,F443=""),"",(F443-E443)/F443)</f>
        <v/>
      </c>
    </row>
    <row r="444">
      <c r="A444" s="14" t="n"/>
      <c r="B444" s="14" t="n"/>
      <c r="C444" s="14" t="n"/>
      <c r="D444" s="14" t="n"/>
      <c r="E444" s="15" t="n"/>
      <c r="F444" s="15" t="n"/>
      <c r="G444" s="16" t="n"/>
      <c r="H444" s="16" t="n"/>
      <c r="I444" s="16">
        <f>IF(A444="","",SUMIFS('Movimentações'!$E$5:$E$5000,'Movimentações'!$B$5:$B$5000,A444,'Movimentações'!$D$5:$D$5000,"Entrada"))</f>
        <v/>
      </c>
      <c r="J444" s="16">
        <f>IF(A444="","",SUMIFS('Movimentações'!$E$5:$E$5000,'Movimentações'!$B$5:$B$5000,A444,'Movimentações'!$D$5:$D$5000,"Saída"))</f>
        <v/>
      </c>
      <c r="K444" s="16">
        <f>IF(A444="","",G444+I444-J444)</f>
        <v/>
      </c>
      <c r="L444" s="14">
        <f>IF(A444="","",IF(K444&lt;=0,"SEM ESTOQUE",IF(K444&lt;=H444,"REPOR","OK")))</f>
        <v/>
      </c>
      <c r="M444" s="15">
        <f>IF(A444="","",MAX(K444,0)*E444)</f>
        <v/>
      </c>
      <c r="N444" s="16">
        <f>IF(A444="","",IF(K444&lt;=H444,MAX(2*H444-K444,0),0))</f>
        <v/>
      </c>
      <c r="O444" s="17">
        <f>IF(OR(A444="",F444=0,F444=""),"",(F444-E444)/F444)</f>
        <v/>
      </c>
    </row>
    <row r="445">
      <c r="A445" s="14" t="n"/>
      <c r="B445" s="14" t="n"/>
      <c r="C445" s="14" t="n"/>
      <c r="D445" s="14" t="n"/>
      <c r="E445" s="15" t="n"/>
      <c r="F445" s="15" t="n"/>
      <c r="G445" s="16" t="n"/>
      <c r="H445" s="16" t="n"/>
      <c r="I445" s="16">
        <f>IF(A445="","",SUMIFS('Movimentações'!$E$5:$E$5000,'Movimentações'!$B$5:$B$5000,A445,'Movimentações'!$D$5:$D$5000,"Entrada"))</f>
        <v/>
      </c>
      <c r="J445" s="16">
        <f>IF(A445="","",SUMIFS('Movimentações'!$E$5:$E$5000,'Movimentações'!$B$5:$B$5000,A445,'Movimentações'!$D$5:$D$5000,"Saída"))</f>
        <v/>
      </c>
      <c r="K445" s="16">
        <f>IF(A445="","",G445+I445-J445)</f>
        <v/>
      </c>
      <c r="L445" s="14">
        <f>IF(A445="","",IF(K445&lt;=0,"SEM ESTOQUE",IF(K445&lt;=H445,"REPOR","OK")))</f>
        <v/>
      </c>
      <c r="M445" s="15">
        <f>IF(A445="","",MAX(K445,0)*E445)</f>
        <v/>
      </c>
      <c r="N445" s="16">
        <f>IF(A445="","",IF(K445&lt;=H445,MAX(2*H445-K445,0),0))</f>
        <v/>
      </c>
      <c r="O445" s="17">
        <f>IF(OR(A445="",F445=0,F445=""),"",(F445-E445)/F445)</f>
        <v/>
      </c>
    </row>
    <row r="446">
      <c r="A446" s="14" t="n"/>
      <c r="B446" s="14" t="n"/>
      <c r="C446" s="14" t="n"/>
      <c r="D446" s="14" t="n"/>
      <c r="E446" s="15" t="n"/>
      <c r="F446" s="15" t="n"/>
      <c r="G446" s="16" t="n"/>
      <c r="H446" s="16" t="n"/>
      <c r="I446" s="16">
        <f>IF(A446="","",SUMIFS('Movimentações'!$E$5:$E$5000,'Movimentações'!$B$5:$B$5000,A446,'Movimentações'!$D$5:$D$5000,"Entrada"))</f>
        <v/>
      </c>
      <c r="J446" s="16">
        <f>IF(A446="","",SUMIFS('Movimentações'!$E$5:$E$5000,'Movimentações'!$B$5:$B$5000,A446,'Movimentações'!$D$5:$D$5000,"Saída"))</f>
        <v/>
      </c>
      <c r="K446" s="16">
        <f>IF(A446="","",G446+I446-J446)</f>
        <v/>
      </c>
      <c r="L446" s="14">
        <f>IF(A446="","",IF(K446&lt;=0,"SEM ESTOQUE",IF(K446&lt;=H446,"REPOR","OK")))</f>
        <v/>
      </c>
      <c r="M446" s="15">
        <f>IF(A446="","",MAX(K446,0)*E446)</f>
        <v/>
      </c>
      <c r="N446" s="16">
        <f>IF(A446="","",IF(K446&lt;=H446,MAX(2*H446-K446,0),0))</f>
        <v/>
      </c>
      <c r="O446" s="17">
        <f>IF(OR(A446="",F446=0,F446=""),"",(F446-E446)/F446)</f>
        <v/>
      </c>
    </row>
    <row r="447">
      <c r="A447" s="14" t="n"/>
      <c r="B447" s="14" t="n"/>
      <c r="C447" s="14" t="n"/>
      <c r="D447" s="14" t="n"/>
      <c r="E447" s="15" t="n"/>
      <c r="F447" s="15" t="n"/>
      <c r="G447" s="16" t="n"/>
      <c r="H447" s="16" t="n"/>
      <c r="I447" s="16">
        <f>IF(A447="","",SUMIFS('Movimentações'!$E$5:$E$5000,'Movimentações'!$B$5:$B$5000,A447,'Movimentações'!$D$5:$D$5000,"Entrada"))</f>
        <v/>
      </c>
      <c r="J447" s="16">
        <f>IF(A447="","",SUMIFS('Movimentações'!$E$5:$E$5000,'Movimentações'!$B$5:$B$5000,A447,'Movimentações'!$D$5:$D$5000,"Saída"))</f>
        <v/>
      </c>
      <c r="K447" s="16">
        <f>IF(A447="","",G447+I447-J447)</f>
        <v/>
      </c>
      <c r="L447" s="14">
        <f>IF(A447="","",IF(K447&lt;=0,"SEM ESTOQUE",IF(K447&lt;=H447,"REPOR","OK")))</f>
        <v/>
      </c>
      <c r="M447" s="15">
        <f>IF(A447="","",MAX(K447,0)*E447)</f>
        <v/>
      </c>
      <c r="N447" s="16">
        <f>IF(A447="","",IF(K447&lt;=H447,MAX(2*H447-K447,0),0))</f>
        <v/>
      </c>
      <c r="O447" s="17">
        <f>IF(OR(A447="",F447=0,F447=""),"",(F447-E447)/F447)</f>
        <v/>
      </c>
    </row>
    <row r="448">
      <c r="A448" s="14" t="n"/>
      <c r="B448" s="14" t="n"/>
      <c r="C448" s="14" t="n"/>
      <c r="D448" s="14" t="n"/>
      <c r="E448" s="15" t="n"/>
      <c r="F448" s="15" t="n"/>
      <c r="G448" s="16" t="n"/>
      <c r="H448" s="16" t="n"/>
      <c r="I448" s="16">
        <f>IF(A448="","",SUMIFS('Movimentações'!$E$5:$E$5000,'Movimentações'!$B$5:$B$5000,A448,'Movimentações'!$D$5:$D$5000,"Entrada"))</f>
        <v/>
      </c>
      <c r="J448" s="16">
        <f>IF(A448="","",SUMIFS('Movimentações'!$E$5:$E$5000,'Movimentações'!$B$5:$B$5000,A448,'Movimentações'!$D$5:$D$5000,"Saída"))</f>
        <v/>
      </c>
      <c r="K448" s="16">
        <f>IF(A448="","",G448+I448-J448)</f>
        <v/>
      </c>
      <c r="L448" s="14">
        <f>IF(A448="","",IF(K448&lt;=0,"SEM ESTOQUE",IF(K448&lt;=H448,"REPOR","OK")))</f>
        <v/>
      </c>
      <c r="M448" s="15">
        <f>IF(A448="","",MAX(K448,0)*E448)</f>
        <v/>
      </c>
      <c r="N448" s="16">
        <f>IF(A448="","",IF(K448&lt;=H448,MAX(2*H448-K448,0),0))</f>
        <v/>
      </c>
      <c r="O448" s="17">
        <f>IF(OR(A448="",F448=0,F448=""),"",(F448-E448)/F448)</f>
        <v/>
      </c>
    </row>
    <row r="449">
      <c r="A449" s="14" t="n"/>
      <c r="B449" s="14" t="n"/>
      <c r="C449" s="14" t="n"/>
      <c r="D449" s="14" t="n"/>
      <c r="E449" s="15" t="n"/>
      <c r="F449" s="15" t="n"/>
      <c r="G449" s="16" t="n"/>
      <c r="H449" s="16" t="n"/>
      <c r="I449" s="16">
        <f>IF(A449="","",SUMIFS('Movimentações'!$E$5:$E$5000,'Movimentações'!$B$5:$B$5000,A449,'Movimentações'!$D$5:$D$5000,"Entrada"))</f>
        <v/>
      </c>
      <c r="J449" s="16">
        <f>IF(A449="","",SUMIFS('Movimentações'!$E$5:$E$5000,'Movimentações'!$B$5:$B$5000,A449,'Movimentações'!$D$5:$D$5000,"Saída"))</f>
        <v/>
      </c>
      <c r="K449" s="16">
        <f>IF(A449="","",G449+I449-J449)</f>
        <v/>
      </c>
      <c r="L449" s="14">
        <f>IF(A449="","",IF(K449&lt;=0,"SEM ESTOQUE",IF(K449&lt;=H449,"REPOR","OK")))</f>
        <v/>
      </c>
      <c r="M449" s="15">
        <f>IF(A449="","",MAX(K449,0)*E449)</f>
        <v/>
      </c>
      <c r="N449" s="16">
        <f>IF(A449="","",IF(K449&lt;=H449,MAX(2*H449-K449,0),0))</f>
        <v/>
      </c>
      <c r="O449" s="17">
        <f>IF(OR(A449="",F449=0,F449=""),"",(F449-E449)/F449)</f>
        <v/>
      </c>
    </row>
    <row r="450">
      <c r="A450" s="14" t="n"/>
      <c r="B450" s="14" t="n"/>
      <c r="C450" s="14" t="n"/>
      <c r="D450" s="14" t="n"/>
      <c r="E450" s="15" t="n"/>
      <c r="F450" s="15" t="n"/>
      <c r="G450" s="16" t="n"/>
      <c r="H450" s="16" t="n"/>
      <c r="I450" s="16">
        <f>IF(A450="","",SUMIFS('Movimentações'!$E$5:$E$5000,'Movimentações'!$B$5:$B$5000,A450,'Movimentações'!$D$5:$D$5000,"Entrada"))</f>
        <v/>
      </c>
      <c r="J450" s="16">
        <f>IF(A450="","",SUMIFS('Movimentações'!$E$5:$E$5000,'Movimentações'!$B$5:$B$5000,A450,'Movimentações'!$D$5:$D$5000,"Saída"))</f>
        <v/>
      </c>
      <c r="K450" s="16">
        <f>IF(A450="","",G450+I450-J450)</f>
        <v/>
      </c>
      <c r="L450" s="14">
        <f>IF(A450="","",IF(K450&lt;=0,"SEM ESTOQUE",IF(K450&lt;=H450,"REPOR","OK")))</f>
        <v/>
      </c>
      <c r="M450" s="15">
        <f>IF(A450="","",MAX(K450,0)*E450)</f>
        <v/>
      </c>
      <c r="N450" s="16">
        <f>IF(A450="","",IF(K450&lt;=H450,MAX(2*H450-K450,0),0))</f>
        <v/>
      </c>
      <c r="O450" s="17">
        <f>IF(OR(A450="",F450=0,F450=""),"",(F450-E450)/F450)</f>
        <v/>
      </c>
    </row>
    <row r="451">
      <c r="A451" s="14" t="n"/>
      <c r="B451" s="14" t="n"/>
      <c r="C451" s="14" t="n"/>
      <c r="D451" s="14" t="n"/>
      <c r="E451" s="15" t="n"/>
      <c r="F451" s="15" t="n"/>
      <c r="G451" s="16" t="n"/>
      <c r="H451" s="16" t="n"/>
      <c r="I451" s="16">
        <f>IF(A451="","",SUMIFS('Movimentações'!$E$5:$E$5000,'Movimentações'!$B$5:$B$5000,A451,'Movimentações'!$D$5:$D$5000,"Entrada"))</f>
        <v/>
      </c>
      <c r="J451" s="16">
        <f>IF(A451="","",SUMIFS('Movimentações'!$E$5:$E$5000,'Movimentações'!$B$5:$B$5000,A451,'Movimentações'!$D$5:$D$5000,"Saída"))</f>
        <v/>
      </c>
      <c r="K451" s="16">
        <f>IF(A451="","",G451+I451-J451)</f>
        <v/>
      </c>
      <c r="L451" s="14">
        <f>IF(A451="","",IF(K451&lt;=0,"SEM ESTOQUE",IF(K451&lt;=H451,"REPOR","OK")))</f>
        <v/>
      </c>
      <c r="M451" s="15">
        <f>IF(A451="","",MAX(K451,0)*E451)</f>
        <v/>
      </c>
      <c r="N451" s="16">
        <f>IF(A451="","",IF(K451&lt;=H451,MAX(2*H451-K451,0),0))</f>
        <v/>
      </c>
      <c r="O451" s="17">
        <f>IF(OR(A451="",F451=0,F451=""),"",(F451-E451)/F451)</f>
        <v/>
      </c>
    </row>
    <row r="452">
      <c r="A452" s="14" t="n"/>
      <c r="B452" s="14" t="n"/>
      <c r="C452" s="14" t="n"/>
      <c r="D452" s="14" t="n"/>
      <c r="E452" s="15" t="n"/>
      <c r="F452" s="15" t="n"/>
      <c r="G452" s="16" t="n"/>
      <c r="H452" s="16" t="n"/>
      <c r="I452" s="16">
        <f>IF(A452="","",SUMIFS('Movimentações'!$E$5:$E$5000,'Movimentações'!$B$5:$B$5000,A452,'Movimentações'!$D$5:$D$5000,"Entrada"))</f>
        <v/>
      </c>
      <c r="J452" s="16">
        <f>IF(A452="","",SUMIFS('Movimentações'!$E$5:$E$5000,'Movimentações'!$B$5:$B$5000,A452,'Movimentações'!$D$5:$D$5000,"Saída"))</f>
        <v/>
      </c>
      <c r="K452" s="16">
        <f>IF(A452="","",G452+I452-J452)</f>
        <v/>
      </c>
      <c r="L452" s="14">
        <f>IF(A452="","",IF(K452&lt;=0,"SEM ESTOQUE",IF(K452&lt;=H452,"REPOR","OK")))</f>
        <v/>
      </c>
      <c r="M452" s="15">
        <f>IF(A452="","",MAX(K452,0)*E452)</f>
        <v/>
      </c>
      <c r="N452" s="16">
        <f>IF(A452="","",IF(K452&lt;=H452,MAX(2*H452-K452,0),0))</f>
        <v/>
      </c>
      <c r="O452" s="17">
        <f>IF(OR(A452="",F452=0,F452=""),"",(F452-E452)/F452)</f>
        <v/>
      </c>
    </row>
    <row r="453">
      <c r="A453" s="14" t="n"/>
      <c r="B453" s="14" t="n"/>
      <c r="C453" s="14" t="n"/>
      <c r="D453" s="14" t="n"/>
      <c r="E453" s="15" t="n"/>
      <c r="F453" s="15" t="n"/>
      <c r="G453" s="16" t="n"/>
      <c r="H453" s="16" t="n"/>
      <c r="I453" s="16">
        <f>IF(A453="","",SUMIFS('Movimentações'!$E$5:$E$5000,'Movimentações'!$B$5:$B$5000,A453,'Movimentações'!$D$5:$D$5000,"Entrada"))</f>
        <v/>
      </c>
      <c r="J453" s="16">
        <f>IF(A453="","",SUMIFS('Movimentações'!$E$5:$E$5000,'Movimentações'!$B$5:$B$5000,A453,'Movimentações'!$D$5:$D$5000,"Saída"))</f>
        <v/>
      </c>
      <c r="K453" s="16">
        <f>IF(A453="","",G453+I453-J453)</f>
        <v/>
      </c>
      <c r="L453" s="14">
        <f>IF(A453="","",IF(K453&lt;=0,"SEM ESTOQUE",IF(K453&lt;=H453,"REPOR","OK")))</f>
        <v/>
      </c>
      <c r="M453" s="15">
        <f>IF(A453="","",MAX(K453,0)*E453)</f>
        <v/>
      </c>
      <c r="N453" s="16">
        <f>IF(A453="","",IF(K453&lt;=H453,MAX(2*H453-K453,0),0))</f>
        <v/>
      </c>
      <c r="O453" s="17">
        <f>IF(OR(A453="",F453=0,F453=""),"",(F453-E453)/F453)</f>
        <v/>
      </c>
    </row>
    <row r="454">
      <c r="A454" s="14" t="n"/>
      <c r="B454" s="14" t="n"/>
      <c r="C454" s="14" t="n"/>
      <c r="D454" s="14" t="n"/>
      <c r="E454" s="15" t="n"/>
      <c r="F454" s="15" t="n"/>
      <c r="G454" s="16" t="n"/>
      <c r="H454" s="16" t="n"/>
      <c r="I454" s="16">
        <f>IF(A454="","",SUMIFS('Movimentações'!$E$5:$E$5000,'Movimentações'!$B$5:$B$5000,A454,'Movimentações'!$D$5:$D$5000,"Entrada"))</f>
        <v/>
      </c>
      <c r="J454" s="16">
        <f>IF(A454="","",SUMIFS('Movimentações'!$E$5:$E$5000,'Movimentações'!$B$5:$B$5000,A454,'Movimentações'!$D$5:$D$5000,"Saída"))</f>
        <v/>
      </c>
      <c r="K454" s="16">
        <f>IF(A454="","",G454+I454-J454)</f>
        <v/>
      </c>
      <c r="L454" s="14">
        <f>IF(A454="","",IF(K454&lt;=0,"SEM ESTOQUE",IF(K454&lt;=H454,"REPOR","OK")))</f>
        <v/>
      </c>
      <c r="M454" s="15">
        <f>IF(A454="","",MAX(K454,0)*E454)</f>
        <v/>
      </c>
      <c r="N454" s="16">
        <f>IF(A454="","",IF(K454&lt;=H454,MAX(2*H454-K454,0),0))</f>
        <v/>
      </c>
      <c r="O454" s="17">
        <f>IF(OR(A454="",F454=0,F454=""),"",(F454-E454)/F454)</f>
        <v/>
      </c>
    </row>
    <row r="455">
      <c r="A455" s="14" t="n"/>
      <c r="B455" s="14" t="n"/>
      <c r="C455" s="14" t="n"/>
      <c r="D455" s="14" t="n"/>
      <c r="E455" s="15" t="n"/>
      <c r="F455" s="15" t="n"/>
      <c r="G455" s="16" t="n"/>
      <c r="H455" s="16" t="n"/>
      <c r="I455" s="16">
        <f>IF(A455="","",SUMIFS('Movimentações'!$E$5:$E$5000,'Movimentações'!$B$5:$B$5000,A455,'Movimentações'!$D$5:$D$5000,"Entrada"))</f>
        <v/>
      </c>
      <c r="J455" s="16">
        <f>IF(A455="","",SUMIFS('Movimentações'!$E$5:$E$5000,'Movimentações'!$B$5:$B$5000,A455,'Movimentações'!$D$5:$D$5000,"Saída"))</f>
        <v/>
      </c>
      <c r="K455" s="16">
        <f>IF(A455="","",G455+I455-J455)</f>
        <v/>
      </c>
      <c r="L455" s="14">
        <f>IF(A455="","",IF(K455&lt;=0,"SEM ESTOQUE",IF(K455&lt;=H455,"REPOR","OK")))</f>
        <v/>
      </c>
      <c r="M455" s="15">
        <f>IF(A455="","",MAX(K455,0)*E455)</f>
        <v/>
      </c>
      <c r="N455" s="16">
        <f>IF(A455="","",IF(K455&lt;=H455,MAX(2*H455-K455,0),0))</f>
        <v/>
      </c>
      <c r="O455" s="17">
        <f>IF(OR(A455="",F455=0,F455=""),"",(F455-E455)/F455)</f>
        <v/>
      </c>
    </row>
    <row r="456">
      <c r="A456" s="14" t="n"/>
      <c r="B456" s="14" t="n"/>
      <c r="C456" s="14" t="n"/>
      <c r="D456" s="14" t="n"/>
      <c r="E456" s="15" t="n"/>
      <c r="F456" s="15" t="n"/>
      <c r="G456" s="16" t="n"/>
      <c r="H456" s="16" t="n"/>
      <c r="I456" s="16">
        <f>IF(A456="","",SUMIFS('Movimentações'!$E$5:$E$5000,'Movimentações'!$B$5:$B$5000,A456,'Movimentações'!$D$5:$D$5000,"Entrada"))</f>
        <v/>
      </c>
      <c r="J456" s="16">
        <f>IF(A456="","",SUMIFS('Movimentações'!$E$5:$E$5000,'Movimentações'!$B$5:$B$5000,A456,'Movimentações'!$D$5:$D$5000,"Saída"))</f>
        <v/>
      </c>
      <c r="K456" s="16">
        <f>IF(A456="","",G456+I456-J456)</f>
        <v/>
      </c>
      <c r="L456" s="14">
        <f>IF(A456="","",IF(K456&lt;=0,"SEM ESTOQUE",IF(K456&lt;=H456,"REPOR","OK")))</f>
        <v/>
      </c>
      <c r="M456" s="15">
        <f>IF(A456="","",MAX(K456,0)*E456)</f>
        <v/>
      </c>
      <c r="N456" s="16">
        <f>IF(A456="","",IF(K456&lt;=H456,MAX(2*H456-K456,0),0))</f>
        <v/>
      </c>
      <c r="O456" s="17">
        <f>IF(OR(A456="",F456=0,F456=""),"",(F456-E456)/F456)</f>
        <v/>
      </c>
    </row>
    <row r="457">
      <c r="A457" s="14" t="n"/>
      <c r="B457" s="14" t="n"/>
      <c r="C457" s="14" t="n"/>
      <c r="D457" s="14" t="n"/>
      <c r="E457" s="15" t="n"/>
      <c r="F457" s="15" t="n"/>
      <c r="G457" s="16" t="n"/>
      <c r="H457" s="16" t="n"/>
      <c r="I457" s="16">
        <f>IF(A457="","",SUMIFS('Movimentações'!$E$5:$E$5000,'Movimentações'!$B$5:$B$5000,A457,'Movimentações'!$D$5:$D$5000,"Entrada"))</f>
        <v/>
      </c>
      <c r="J457" s="16">
        <f>IF(A457="","",SUMIFS('Movimentações'!$E$5:$E$5000,'Movimentações'!$B$5:$B$5000,A457,'Movimentações'!$D$5:$D$5000,"Saída"))</f>
        <v/>
      </c>
      <c r="K457" s="16">
        <f>IF(A457="","",G457+I457-J457)</f>
        <v/>
      </c>
      <c r="L457" s="14">
        <f>IF(A457="","",IF(K457&lt;=0,"SEM ESTOQUE",IF(K457&lt;=H457,"REPOR","OK")))</f>
        <v/>
      </c>
      <c r="M457" s="15">
        <f>IF(A457="","",MAX(K457,0)*E457)</f>
        <v/>
      </c>
      <c r="N457" s="16">
        <f>IF(A457="","",IF(K457&lt;=H457,MAX(2*H457-K457,0),0))</f>
        <v/>
      </c>
      <c r="O457" s="17">
        <f>IF(OR(A457="",F457=0,F457=""),"",(F457-E457)/F457)</f>
        <v/>
      </c>
    </row>
    <row r="458">
      <c r="A458" s="14" t="n"/>
      <c r="B458" s="14" t="n"/>
      <c r="C458" s="14" t="n"/>
      <c r="D458" s="14" t="n"/>
      <c r="E458" s="15" t="n"/>
      <c r="F458" s="15" t="n"/>
      <c r="G458" s="16" t="n"/>
      <c r="H458" s="16" t="n"/>
      <c r="I458" s="16">
        <f>IF(A458="","",SUMIFS('Movimentações'!$E$5:$E$5000,'Movimentações'!$B$5:$B$5000,A458,'Movimentações'!$D$5:$D$5000,"Entrada"))</f>
        <v/>
      </c>
      <c r="J458" s="16">
        <f>IF(A458="","",SUMIFS('Movimentações'!$E$5:$E$5000,'Movimentações'!$B$5:$B$5000,A458,'Movimentações'!$D$5:$D$5000,"Saída"))</f>
        <v/>
      </c>
      <c r="K458" s="16">
        <f>IF(A458="","",G458+I458-J458)</f>
        <v/>
      </c>
      <c r="L458" s="14">
        <f>IF(A458="","",IF(K458&lt;=0,"SEM ESTOQUE",IF(K458&lt;=H458,"REPOR","OK")))</f>
        <v/>
      </c>
      <c r="M458" s="15">
        <f>IF(A458="","",MAX(K458,0)*E458)</f>
        <v/>
      </c>
      <c r="N458" s="16">
        <f>IF(A458="","",IF(K458&lt;=H458,MAX(2*H458-K458,0),0))</f>
        <v/>
      </c>
      <c r="O458" s="17">
        <f>IF(OR(A458="",F458=0,F458=""),"",(F458-E458)/F458)</f>
        <v/>
      </c>
    </row>
    <row r="459">
      <c r="A459" s="14" t="n"/>
      <c r="B459" s="14" t="n"/>
      <c r="C459" s="14" t="n"/>
      <c r="D459" s="14" t="n"/>
      <c r="E459" s="15" t="n"/>
      <c r="F459" s="15" t="n"/>
      <c r="G459" s="16" t="n"/>
      <c r="H459" s="16" t="n"/>
      <c r="I459" s="16">
        <f>IF(A459="","",SUMIFS('Movimentações'!$E$5:$E$5000,'Movimentações'!$B$5:$B$5000,A459,'Movimentações'!$D$5:$D$5000,"Entrada"))</f>
        <v/>
      </c>
      <c r="J459" s="16">
        <f>IF(A459="","",SUMIFS('Movimentações'!$E$5:$E$5000,'Movimentações'!$B$5:$B$5000,A459,'Movimentações'!$D$5:$D$5000,"Saída"))</f>
        <v/>
      </c>
      <c r="K459" s="16">
        <f>IF(A459="","",G459+I459-J459)</f>
        <v/>
      </c>
      <c r="L459" s="14">
        <f>IF(A459="","",IF(K459&lt;=0,"SEM ESTOQUE",IF(K459&lt;=H459,"REPOR","OK")))</f>
        <v/>
      </c>
      <c r="M459" s="15">
        <f>IF(A459="","",MAX(K459,0)*E459)</f>
        <v/>
      </c>
      <c r="N459" s="16">
        <f>IF(A459="","",IF(K459&lt;=H459,MAX(2*H459-K459,0),0))</f>
        <v/>
      </c>
      <c r="O459" s="17">
        <f>IF(OR(A459="",F459=0,F459=""),"",(F459-E459)/F459)</f>
        <v/>
      </c>
    </row>
    <row r="460">
      <c r="A460" s="14" t="n"/>
      <c r="B460" s="14" t="n"/>
      <c r="C460" s="14" t="n"/>
      <c r="D460" s="14" t="n"/>
      <c r="E460" s="15" t="n"/>
      <c r="F460" s="15" t="n"/>
      <c r="G460" s="16" t="n"/>
      <c r="H460" s="16" t="n"/>
      <c r="I460" s="16">
        <f>IF(A460="","",SUMIFS('Movimentações'!$E$5:$E$5000,'Movimentações'!$B$5:$B$5000,A460,'Movimentações'!$D$5:$D$5000,"Entrada"))</f>
        <v/>
      </c>
      <c r="J460" s="16">
        <f>IF(A460="","",SUMIFS('Movimentações'!$E$5:$E$5000,'Movimentações'!$B$5:$B$5000,A460,'Movimentações'!$D$5:$D$5000,"Saída"))</f>
        <v/>
      </c>
      <c r="K460" s="16">
        <f>IF(A460="","",G460+I460-J460)</f>
        <v/>
      </c>
      <c r="L460" s="14">
        <f>IF(A460="","",IF(K460&lt;=0,"SEM ESTOQUE",IF(K460&lt;=H460,"REPOR","OK")))</f>
        <v/>
      </c>
      <c r="M460" s="15">
        <f>IF(A460="","",MAX(K460,0)*E460)</f>
        <v/>
      </c>
      <c r="N460" s="16">
        <f>IF(A460="","",IF(K460&lt;=H460,MAX(2*H460-K460,0),0))</f>
        <v/>
      </c>
      <c r="O460" s="17">
        <f>IF(OR(A460="",F460=0,F460=""),"",(F460-E460)/F460)</f>
        <v/>
      </c>
    </row>
    <row r="461">
      <c r="A461" s="14" t="n"/>
      <c r="B461" s="14" t="n"/>
      <c r="C461" s="14" t="n"/>
      <c r="D461" s="14" t="n"/>
      <c r="E461" s="15" t="n"/>
      <c r="F461" s="15" t="n"/>
      <c r="G461" s="16" t="n"/>
      <c r="H461" s="16" t="n"/>
      <c r="I461" s="16">
        <f>IF(A461="","",SUMIFS('Movimentações'!$E$5:$E$5000,'Movimentações'!$B$5:$B$5000,A461,'Movimentações'!$D$5:$D$5000,"Entrada"))</f>
        <v/>
      </c>
      <c r="J461" s="16">
        <f>IF(A461="","",SUMIFS('Movimentações'!$E$5:$E$5000,'Movimentações'!$B$5:$B$5000,A461,'Movimentações'!$D$5:$D$5000,"Saída"))</f>
        <v/>
      </c>
      <c r="K461" s="16">
        <f>IF(A461="","",G461+I461-J461)</f>
        <v/>
      </c>
      <c r="L461" s="14">
        <f>IF(A461="","",IF(K461&lt;=0,"SEM ESTOQUE",IF(K461&lt;=H461,"REPOR","OK")))</f>
        <v/>
      </c>
      <c r="M461" s="15">
        <f>IF(A461="","",MAX(K461,0)*E461)</f>
        <v/>
      </c>
      <c r="N461" s="16">
        <f>IF(A461="","",IF(K461&lt;=H461,MAX(2*H461-K461,0),0))</f>
        <v/>
      </c>
      <c r="O461" s="17">
        <f>IF(OR(A461="",F461=0,F461=""),"",(F461-E461)/F461)</f>
        <v/>
      </c>
    </row>
    <row r="462">
      <c r="A462" s="14" t="n"/>
      <c r="B462" s="14" t="n"/>
      <c r="C462" s="14" t="n"/>
      <c r="D462" s="14" t="n"/>
      <c r="E462" s="15" t="n"/>
      <c r="F462" s="15" t="n"/>
      <c r="G462" s="16" t="n"/>
      <c r="H462" s="16" t="n"/>
      <c r="I462" s="16">
        <f>IF(A462="","",SUMIFS('Movimentações'!$E$5:$E$5000,'Movimentações'!$B$5:$B$5000,A462,'Movimentações'!$D$5:$D$5000,"Entrada"))</f>
        <v/>
      </c>
      <c r="J462" s="16">
        <f>IF(A462="","",SUMIFS('Movimentações'!$E$5:$E$5000,'Movimentações'!$B$5:$B$5000,A462,'Movimentações'!$D$5:$D$5000,"Saída"))</f>
        <v/>
      </c>
      <c r="K462" s="16">
        <f>IF(A462="","",G462+I462-J462)</f>
        <v/>
      </c>
      <c r="L462" s="14">
        <f>IF(A462="","",IF(K462&lt;=0,"SEM ESTOQUE",IF(K462&lt;=H462,"REPOR","OK")))</f>
        <v/>
      </c>
      <c r="M462" s="15">
        <f>IF(A462="","",MAX(K462,0)*E462)</f>
        <v/>
      </c>
      <c r="N462" s="16">
        <f>IF(A462="","",IF(K462&lt;=H462,MAX(2*H462-K462,0),0))</f>
        <v/>
      </c>
      <c r="O462" s="17">
        <f>IF(OR(A462="",F462=0,F462=""),"",(F462-E462)/F462)</f>
        <v/>
      </c>
    </row>
    <row r="463">
      <c r="A463" s="14" t="n"/>
      <c r="B463" s="14" t="n"/>
      <c r="C463" s="14" t="n"/>
      <c r="D463" s="14" t="n"/>
      <c r="E463" s="15" t="n"/>
      <c r="F463" s="15" t="n"/>
      <c r="G463" s="16" t="n"/>
      <c r="H463" s="16" t="n"/>
      <c r="I463" s="16">
        <f>IF(A463="","",SUMIFS('Movimentações'!$E$5:$E$5000,'Movimentações'!$B$5:$B$5000,A463,'Movimentações'!$D$5:$D$5000,"Entrada"))</f>
        <v/>
      </c>
      <c r="J463" s="16">
        <f>IF(A463="","",SUMIFS('Movimentações'!$E$5:$E$5000,'Movimentações'!$B$5:$B$5000,A463,'Movimentações'!$D$5:$D$5000,"Saída"))</f>
        <v/>
      </c>
      <c r="K463" s="16">
        <f>IF(A463="","",G463+I463-J463)</f>
        <v/>
      </c>
      <c r="L463" s="14">
        <f>IF(A463="","",IF(K463&lt;=0,"SEM ESTOQUE",IF(K463&lt;=H463,"REPOR","OK")))</f>
        <v/>
      </c>
      <c r="M463" s="15">
        <f>IF(A463="","",MAX(K463,0)*E463)</f>
        <v/>
      </c>
      <c r="N463" s="16">
        <f>IF(A463="","",IF(K463&lt;=H463,MAX(2*H463-K463,0),0))</f>
        <v/>
      </c>
      <c r="O463" s="17">
        <f>IF(OR(A463="",F463=0,F463=""),"",(F463-E463)/F463)</f>
        <v/>
      </c>
    </row>
    <row r="464">
      <c r="A464" s="14" t="n"/>
      <c r="B464" s="14" t="n"/>
      <c r="C464" s="14" t="n"/>
      <c r="D464" s="14" t="n"/>
      <c r="E464" s="15" t="n"/>
      <c r="F464" s="15" t="n"/>
      <c r="G464" s="16" t="n"/>
      <c r="H464" s="16" t="n"/>
      <c r="I464" s="16">
        <f>IF(A464="","",SUMIFS('Movimentações'!$E$5:$E$5000,'Movimentações'!$B$5:$B$5000,A464,'Movimentações'!$D$5:$D$5000,"Entrada"))</f>
        <v/>
      </c>
      <c r="J464" s="16">
        <f>IF(A464="","",SUMIFS('Movimentações'!$E$5:$E$5000,'Movimentações'!$B$5:$B$5000,A464,'Movimentações'!$D$5:$D$5000,"Saída"))</f>
        <v/>
      </c>
      <c r="K464" s="16">
        <f>IF(A464="","",G464+I464-J464)</f>
        <v/>
      </c>
      <c r="L464" s="14">
        <f>IF(A464="","",IF(K464&lt;=0,"SEM ESTOQUE",IF(K464&lt;=H464,"REPOR","OK")))</f>
        <v/>
      </c>
      <c r="M464" s="15">
        <f>IF(A464="","",MAX(K464,0)*E464)</f>
        <v/>
      </c>
      <c r="N464" s="16">
        <f>IF(A464="","",IF(K464&lt;=H464,MAX(2*H464-K464,0),0))</f>
        <v/>
      </c>
      <c r="O464" s="17">
        <f>IF(OR(A464="",F464=0,F464=""),"",(F464-E464)/F464)</f>
        <v/>
      </c>
    </row>
    <row r="465">
      <c r="A465" s="14" t="n"/>
      <c r="B465" s="14" t="n"/>
      <c r="C465" s="14" t="n"/>
      <c r="D465" s="14" t="n"/>
      <c r="E465" s="15" t="n"/>
      <c r="F465" s="15" t="n"/>
      <c r="G465" s="16" t="n"/>
      <c r="H465" s="16" t="n"/>
      <c r="I465" s="16">
        <f>IF(A465="","",SUMIFS('Movimentações'!$E$5:$E$5000,'Movimentações'!$B$5:$B$5000,A465,'Movimentações'!$D$5:$D$5000,"Entrada"))</f>
        <v/>
      </c>
      <c r="J465" s="16">
        <f>IF(A465="","",SUMIFS('Movimentações'!$E$5:$E$5000,'Movimentações'!$B$5:$B$5000,A465,'Movimentações'!$D$5:$D$5000,"Saída"))</f>
        <v/>
      </c>
      <c r="K465" s="16">
        <f>IF(A465="","",G465+I465-J465)</f>
        <v/>
      </c>
      <c r="L465" s="14">
        <f>IF(A465="","",IF(K465&lt;=0,"SEM ESTOQUE",IF(K465&lt;=H465,"REPOR","OK")))</f>
        <v/>
      </c>
      <c r="M465" s="15">
        <f>IF(A465="","",MAX(K465,0)*E465)</f>
        <v/>
      </c>
      <c r="N465" s="16">
        <f>IF(A465="","",IF(K465&lt;=H465,MAX(2*H465-K465,0),0))</f>
        <v/>
      </c>
      <c r="O465" s="17">
        <f>IF(OR(A465="",F465=0,F465=""),"",(F465-E465)/F465)</f>
        <v/>
      </c>
    </row>
    <row r="466">
      <c r="A466" s="14" t="n"/>
      <c r="B466" s="14" t="n"/>
      <c r="C466" s="14" t="n"/>
      <c r="D466" s="14" t="n"/>
      <c r="E466" s="15" t="n"/>
      <c r="F466" s="15" t="n"/>
      <c r="G466" s="16" t="n"/>
      <c r="H466" s="16" t="n"/>
      <c r="I466" s="16">
        <f>IF(A466="","",SUMIFS('Movimentações'!$E$5:$E$5000,'Movimentações'!$B$5:$B$5000,A466,'Movimentações'!$D$5:$D$5000,"Entrada"))</f>
        <v/>
      </c>
      <c r="J466" s="16">
        <f>IF(A466="","",SUMIFS('Movimentações'!$E$5:$E$5000,'Movimentações'!$B$5:$B$5000,A466,'Movimentações'!$D$5:$D$5000,"Saída"))</f>
        <v/>
      </c>
      <c r="K466" s="16">
        <f>IF(A466="","",G466+I466-J466)</f>
        <v/>
      </c>
      <c r="L466" s="14">
        <f>IF(A466="","",IF(K466&lt;=0,"SEM ESTOQUE",IF(K466&lt;=H466,"REPOR","OK")))</f>
        <v/>
      </c>
      <c r="M466" s="15">
        <f>IF(A466="","",MAX(K466,0)*E466)</f>
        <v/>
      </c>
      <c r="N466" s="16">
        <f>IF(A466="","",IF(K466&lt;=H466,MAX(2*H466-K466,0),0))</f>
        <v/>
      </c>
      <c r="O466" s="17">
        <f>IF(OR(A466="",F466=0,F466=""),"",(F466-E466)/F466)</f>
        <v/>
      </c>
    </row>
    <row r="467">
      <c r="A467" s="14" t="n"/>
      <c r="B467" s="14" t="n"/>
      <c r="C467" s="14" t="n"/>
      <c r="D467" s="14" t="n"/>
      <c r="E467" s="15" t="n"/>
      <c r="F467" s="15" t="n"/>
      <c r="G467" s="16" t="n"/>
      <c r="H467" s="16" t="n"/>
      <c r="I467" s="16">
        <f>IF(A467="","",SUMIFS('Movimentações'!$E$5:$E$5000,'Movimentações'!$B$5:$B$5000,A467,'Movimentações'!$D$5:$D$5000,"Entrada"))</f>
        <v/>
      </c>
      <c r="J467" s="16">
        <f>IF(A467="","",SUMIFS('Movimentações'!$E$5:$E$5000,'Movimentações'!$B$5:$B$5000,A467,'Movimentações'!$D$5:$D$5000,"Saída"))</f>
        <v/>
      </c>
      <c r="K467" s="16">
        <f>IF(A467="","",G467+I467-J467)</f>
        <v/>
      </c>
      <c r="L467" s="14">
        <f>IF(A467="","",IF(K467&lt;=0,"SEM ESTOQUE",IF(K467&lt;=H467,"REPOR","OK")))</f>
        <v/>
      </c>
      <c r="M467" s="15">
        <f>IF(A467="","",MAX(K467,0)*E467)</f>
        <v/>
      </c>
      <c r="N467" s="16">
        <f>IF(A467="","",IF(K467&lt;=H467,MAX(2*H467-K467,0),0))</f>
        <v/>
      </c>
      <c r="O467" s="17">
        <f>IF(OR(A467="",F467=0,F467=""),"",(F467-E467)/F467)</f>
        <v/>
      </c>
    </row>
    <row r="468">
      <c r="A468" s="14" t="n"/>
      <c r="B468" s="14" t="n"/>
      <c r="C468" s="14" t="n"/>
      <c r="D468" s="14" t="n"/>
      <c r="E468" s="15" t="n"/>
      <c r="F468" s="15" t="n"/>
      <c r="G468" s="16" t="n"/>
      <c r="H468" s="16" t="n"/>
      <c r="I468" s="16">
        <f>IF(A468="","",SUMIFS('Movimentações'!$E$5:$E$5000,'Movimentações'!$B$5:$B$5000,A468,'Movimentações'!$D$5:$D$5000,"Entrada"))</f>
        <v/>
      </c>
      <c r="J468" s="16">
        <f>IF(A468="","",SUMIFS('Movimentações'!$E$5:$E$5000,'Movimentações'!$B$5:$B$5000,A468,'Movimentações'!$D$5:$D$5000,"Saída"))</f>
        <v/>
      </c>
      <c r="K468" s="16">
        <f>IF(A468="","",G468+I468-J468)</f>
        <v/>
      </c>
      <c r="L468" s="14">
        <f>IF(A468="","",IF(K468&lt;=0,"SEM ESTOQUE",IF(K468&lt;=H468,"REPOR","OK")))</f>
        <v/>
      </c>
      <c r="M468" s="15">
        <f>IF(A468="","",MAX(K468,0)*E468)</f>
        <v/>
      </c>
      <c r="N468" s="16">
        <f>IF(A468="","",IF(K468&lt;=H468,MAX(2*H468-K468,0),0))</f>
        <v/>
      </c>
      <c r="O468" s="17">
        <f>IF(OR(A468="",F468=0,F468=""),"",(F468-E468)/F468)</f>
        <v/>
      </c>
    </row>
    <row r="469">
      <c r="A469" s="14" t="n"/>
      <c r="B469" s="14" t="n"/>
      <c r="C469" s="14" t="n"/>
      <c r="D469" s="14" t="n"/>
      <c r="E469" s="15" t="n"/>
      <c r="F469" s="15" t="n"/>
      <c r="G469" s="16" t="n"/>
      <c r="H469" s="16" t="n"/>
      <c r="I469" s="16">
        <f>IF(A469="","",SUMIFS('Movimentações'!$E$5:$E$5000,'Movimentações'!$B$5:$B$5000,A469,'Movimentações'!$D$5:$D$5000,"Entrada"))</f>
        <v/>
      </c>
      <c r="J469" s="16">
        <f>IF(A469="","",SUMIFS('Movimentações'!$E$5:$E$5000,'Movimentações'!$B$5:$B$5000,A469,'Movimentações'!$D$5:$D$5000,"Saída"))</f>
        <v/>
      </c>
      <c r="K469" s="16">
        <f>IF(A469="","",G469+I469-J469)</f>
        <v/>
      </c>
      <c r="L469" s="14">
        <f>IF(A469="","",IF(K469&lt;=0,"SEM ESTOQUE",IF(K469&lt;=H469,"REPOR","OK")))</f>
        <v/>
      </c>
      <c r="M469" s="15">
        <f>IF(A469="","",MAX(K469,0)*E469)</f>
        <v/>
      </c>
      <c r="N469" s="16">
        <f>IF(A469="","",IF(K469&lt;=H469,MAX(2*H469-K469,0),0))</f>
        <v/>
      </c>
      <c r="O469" s="17">
        <f>IF(OR(A469="",F469=0,F469=""),"",(F469-E469)/F469)</f>
        <v/>
      </c>
    </row>
    <row r="470">
      <c r="A470" s="14" t="n"/>
      <c r="B470" s="14" t="n"/>
      <c r="C470" s="14" t="n"/>
      <c r="D470" s="14" t="n"/>
      <c r="E470" s="15" t="n"/>
      <c r="F470" s="15" t="n"/>
      <c r="G470" s="16" t="n"/>
      <c r="H470" s="16" t="n"/>
      <c r="I470" s="16">
        <f>IF(A470="","",SUMIFS('Movimentações'!$E$5:$E$5000,'Movimentações'!$B$5:$B$5000,A470,'Movimentações'!$D$5:$D$5000,"Entrada"))</f>
        <v/>
      </c>
      <c r="J470" s="16">
        <f>IF(A470="","",SUMIFS('Movimentações'!$E$5:$E$5000,'Movimentações'!$B$5:$B$5000,A470,'Movimentações'!$D$5:$D$5000,"Saída"))</f>
        <v/>
      </c>
      <c r="K470" s="16">
        <f>IF(A470="","",G470+I470-J470)</f>
        <v/>
      </c>
      <c r="L470" s="14">
        <f>IF(A470="","",IF(K470&lt;=0,"SEM ESTOQUE",IF(K470&lt;=H470,"REPOR","OK")))</f>
        <v/>
      </c>
      <c r="M470" s="15">
        <f>IF(A470="","",MAX(K470,0)*E470)</f>
        <v/>
      </c>
      <c r="N470" s="16">
        <f>IF(A470="","",IF(K470&lt;=H470,MAX(2*H470-K470,0),0))</f>
        <v/>
      </c>
      <c r="O470" s="17">
        <f>IF(OR(A470="",F470=0,F470=""),"",(F470-E470)/F470)</f>
        <v/>
      </c>
    </row>
    <row r="471">
      <c r="A471" s="14" t="n"/>
      <c r="B471" s="14" t="n"/>
      <c r="C471" s="14" t="n"/>
      <c r="D471" s="14" t="n"/>
      <c r="E471" s="15" t="n"/>
      <c r="F471" s="15" t="n"/>
      <c r="G471" s="16" t="n"/>
      <c r="H471" s="16" t="n"/>
      <c r="I471" s="16">
        <f>IF(A471="","",SUMIFS('Movimentações'!$E$5:$E$5000,'Movimentações'!$B$5:$B$5000,A471,'Movimentações'!$D$5:$D$5000,"Entrada"))</f>
        <v/>
      </c>
      <c r="J471" s="16">
        <f>IF(A471="","",SUMIFS('Movimentações'!$E$5:$E$5000,'Movimentações'!$B$5:$B$5000,A471,'Movimentações'!$D$5:$D$5000,"Saída"))</f>
        <v/>
      </c>
      <c r="K471" s="16">
        <f>IF(A471="","",G471+I471-J471)</f>
        <v/>
      </c>
      <c r="L471" s="14">
        <f>IF(A471="","",IF(K471&lt;=0,"SEM ESTOQUE",IF(K471&lt;=H471,"REPOR","OK")))</f>
        <v/>
      </c>
      <c r="M471" s="15">
        <f>IF(A471="","",MAX(K471,0)*E471)</f>
        <v/>
      </c>
      <c r="N471" s="16">
        <f>IF(A471="","",IF(K471&lt;=H471,MAX(2*H471-K471,0),0))</f>
        <v/>
      </c>
      <c r="O471" s="17">
        <f>IF(OR(A471="",F471=0,F471=""),"",(F471-E471)/F471)</f>
        <v/>
      </c>
    </row>
    <row r="472">
      <c r="A472" s="14" t="n"/>
      <c r="B472" s="14" t="n"/>
      <c r="C472" s="14" t="n"/>
      <c r="D472" s="14" t="n"/>
      <c r="E472" s="15" t="n"/>
      <c r="F472" s="15" t="n"/>
      <c r="G472" s="16" t="n"/>
      <c r="H472" s="16" t="n"/>
      <c r="I472" s="16">
        <f>IF(A472="","",SUMIFS('Movimentações'!$E$5:$E$5000,'Movimentações'!$B$5:$B$5000,A472,'Movimentações'!$D$5:$D$5000,"Entrada"))</f>
        <v/>
      </c>
      <c r="J472" s="16">
        <f>IF(A472="","",SUMIFS('Movimentações'!$E$5:$E$5000,'Movimentações'!$B$5:$B$5000,A472,'Movimentações'!$D$5:$D$5000,"Saída"))</f>
        <v/>
      </c>
      <c r="K472" s="16">
        <f>IF(A472="","",G472+I472-J472)</f>
        <v/>
      </c>
      <c r="L472" s="14">
        <f>IF(A472="","",IF(K472&lt;=0,"SEM ESTOQUE",IF(K472&lt;=H472,"REPOR","OK")))</f>
        <v/>
      </c>
      <c r="M472" s="15">
        <f>IF(A472="","",MAX(K472,0)*E472)</f>
        <v/>
      </c>
      <c r="N472" s="16">
        <f>IF(A472="","",IF(K472&lt;=H472,MAX(2*H472-K472,0),0))</f>
        <v/>
      </c>
      <c r="O472" s="17">
        <f>IF(OR(A472="",F472=0,F472=""),"",(F472-E472)/F472)</f>
        <v/>
      </c>
    </row>
    <row r="473">
      <c r="A473" s="14" t="n"/>
      <c r="B473" s="14" t="n"/>
      <c r="C473" s="14" t="n"/>
      <c r="D473" s="14" t="n"/>
      <c r="E473" s="15" t="n"/>
      <c r="F473" s="15" t="n"/>
      <c r="G473" s="16" t="n"/>
      <c r="H473" s="16" t="n"/>
      <c r="I473" s="16">
        <f>IF(A473="","",SUMIFS('Movimentações'!$E$5:$E$5000,'Movimentações'!$B$5:$B$5000,A473,'Movimentações'!$D$5:$D$5000,"Entrada"))</f>
        <v/>
      </c>
      <c r="J473" s="16">
        <f>IF(A473="","",SUMIFS('Movimentações'!$E$5:$E$5000,'Movimentações'!$B$5:$B$5000,A473,'Movimentações'!$D$5:$D$5000,"Saída"))</f>
        <v/>
      </c>
      <c r="K473" s="16">
        <f>IF(A473="","",G473+I473-J473)</f>
        <v/>
      </c>
      <c r="L473" s="14">
        <f>IF(A473="","",IF(K473&lt;=0,"SEM ESTOQUE",IF(K473&lt;=H473,"REPOR","OK")))</f>
        <v/>
      </c>
      <c r="M473" s="15">
        <f>IF(A473="","",MAX(K473,0)*E473)</f>
        <v/>
      </c>
      <c r="N473" s="16">
        <f>IF(A473="","",IF(K473&lt;=H473,MAX(2*H473-K473,0),0))</f>
        <v/>
      </c>
      <c r="O473" s="17">
        <f>IF(OR(A473="",F473=0,F473=""),"",(F473-E473)/F473)</f>
        <v/>
      </c>
    </row>
    <row r="474">
      <c r="A474" s="14" t="n"/>
      <c r="B474" s="14" t="n"/>
      <c r="C474" s="14" t="n"/>
      <c r="D474" s="14" t="n"/>
      <c r="E474" s="15" t="n"/>
      <c r="F474" s="15" t="n"/>
      <c r="G474" s="16" t="n"/>
      <c r="H474" s="16" t="n"/>
      <c r="I474" s="16">
        <f>IF(A474="","",SUMIFS('Movimentações'!$E$5:$E$5000,'Movimentações'!$B$5:$B$5000,A474,'Movimentações'!$D$5:$D$5000,"Entrada"))</f>
        <v/>
      </c>
      <c r="J474" s="16">
        <f>IF(A474="","",SUMIFS('Movimentações'!$E$5:$E$5000,'Movimentações'!$B$5:$B$5000,A474,'Movimentações'!$D$5:$D$5000,"Saída"))</f>
        <v/>
      </c>
      <c r="K474" s="16">
        <f>IF(A474="","",G474+I474-J474)</f>
        <v/>
      </c>
      <c r="L474" s="14">
        <f>IF(A474="","",IF(K474&lt;=0,"SEM ESTOQUE",IF(K474&lt;=H474,"REPOR","OK")))</f>
        <v/>
      </c>
      <c r="M474" s="15">
        <f>IF(A474="","",MAX(K474,0)*E474)</f>
        <v/>
      </c>
      <c r="N474" s="16">
        <f>IF(A474="","",IF(K474&lt;=H474,MAX(2*H474-K474,0),0))</f>
        <v/>
      </c>
      <c r="O474" s="17">
        <f>IF(OR(A474="",F474=0,F474=""),"",(F474-E474)/F474)</f>
        <v/>
      </c>
    </row>
    <row r="475">
      <c r="A475" s="14" t="n"/>
      <c r="B475" s="14" t="n"/>
      <c r="C475" s="14" t="n"/>
      <c r="D475" s="14" t="n"/>
      <c r="E475" s="15" t="n"/>
      <c r="F475" s="15" t="n"/>
      <c r="G475" s="16" t="n"/>
      <c r="H475" s="16" t="n"/>
      <c r="I475" s="16">
        <f>IF(A475="","",SUMIFS('Movimentações'!$E$5:$E$5000,'Movimentações'!$B$5:$B$5000,A475,'Movimentações'!$D$5:$D$5000,"Entrada"))</f>
        <v/>
      </c>
      <c r="J475" s="16">
        <f>IF(A475="","",SUMIFS('Movimentações'!$E$5:$E$5000,'Movimentações'!$B$5:$B$5000,A475,'Movimentações'!$D$5:$D$5000,"Saída"))</f>
        <v/>
      </c>
      <c r="K475" s="16">
        <f>IF(A475="","",G475+I475-J475)</f>
        <v/>
      </c>
      <c r="L475" s="14">
        <f>IF(A475="","",IF(K475&lt;=0,"SEM ESTOQUE",IF(K475&lt;=H475,"REPOR","OK")))</f>
        <v/>
      </c>
      <c r="M475" s="15">
        <f>IF(A475="","",MAX(K475,0)*E475)</f>
        <v/>
      </c>
      <c r="N475" s="16">
        <f>IF(A475="","",IF(K475&lt;=H475,MAX(2*H475-K475,0),0))</f>
        <v/>
      </c>
      <c r="O475" s="17">
        <f>IF(OR(A475="",F475=0,F475=""),"",(F475-E475)/F475)</f>
        <v/>
      </c>
    </row>
    <row r="476">
      <c r="A476" s="14" t="n"/>
      <c r="B476" s="14" t="n"/>
      <c r="C476" s="14" t="n"/>
      <c r="D476" s="14" t="n"/>
      <c r="E476" s="15" t="n"/>
      <c r="F476" s="15" t="n"/>
      <c r="G476" s="16" t="n"/>
      <c r="H476" s="16" t="n"/>
      <c r="I476" s="16">
        <f>IF(A476="","",SUMIFS('Movimentações'!$E$5:$E$5000,'Movimentações'!$B$5:$B$5000,A476,'Movimentações'!$D$5:$D$5000,"Entrada"))</f>
        <v/>
      </c>
      <c r="J476" s="16">
        <f>IF(A476="","",SUMIFS('Movimentações'!$E$5:$E$5000,'Movimentações'!$B$5:$B$5000,A476,'Movimentações'!$D$5:$D$5000,"Saída"))</f>
        <v/>
      </c>
      <c r="K476" s="16">
        <f>IF(A476="","",G476+I476-J476)</f>
        <v/>
      </c>
      <c r="L476" s="14">
        <f>IF(A476="","",IF(K476&lt;=0,"SEM ESTOQUE",IF(K476&lt;=H476,"REPOR","OK")))</f>
        <v/>
      </c>
      <c r="M476" s="15">
        <f>IF(A476="","",MAX(K476,0)*E476)</f>
        <v/>
      </c>
      <c r="N476" s="16">
        <f>IF(A476="","",IF(K476&lt;=H476,MAX(2*H476-K476,0),0))</f>
        <v/>
      </c>
      <c r="O476" s="17">
        <f>IF(OR(A476="",F476=0,F476=""),"",(F476-E476)/F476)</f>
        <v/>
      </c>
    </row>
    <row r="477">
      <c r="A477" s="14" t="n"/>
      <c r="B477" s="14" t="n"/>
      <c r="C477" s="14" t="n"/>
      <c r="D477" s="14" t="n"/>
      <c r="E477" s="15" t="n"/>
      <c r="F477" s="15" t="n"/>
      <c r="G477" s="16" t="n"/>
      <c r="H477" s="16" t="n"/>
      <c r="I477" s="16">
        <f>IF(A477="","",SUMIFS('Movimentações'!$E$5:$E$5000,'Movimentações'!$B$5:$B$5000,A477,'Movimentações'!$D$5:$D$5000,"Entrada"))</f>
        <v/>
      </c>
      <c r="J477" s="16">
        <f>IF(A477="","",SUMIFS('Movimentações'!$E$5:$E$5000,'Movimentações'!$B$5:$B$5000,A477,'Movimentações'!$D$5:$D$5000,"Saída"))</f>
        <v/>
      </c>
      <c r="K477" s="16">
        <f>IF(A477="","",G477+I477-J477)</f>
        <v/>
      </c>
      <c r="L477" s="14">
        <f>IF(A477="","",IF(K477&lt;=0,"SEM ESTOQUE",IF(K477&lt;=H477,"REPOR","OK")))</f>
        <v/>
      </c>
      <c r="M477" s="15">
        <f>IF(A477="","",MAX(K477,0)*E477)</f>
        <v/>
      </c>
      <c r="N477" s="16">
        <f>IF(A477="","",IF(K477&lt;=H477,MAX(2*H477-K477,0),0))</f>
        <v/>
      </c>
      <c r="O477" s="17">
        <f>IF(OR(A477="",F477=0,F477=""),"",(F477-E477)/F477)</f>
        <v/>
      </c>
    </row>
    <row r="478">
      <c r="A478" s="14" t="n"/>
      <c r="B478" s="14" t="n"/>
      <c r="C478" s="14" t="n"/>
      <c r="D478" s="14" t="n"/>
      <c r="E478" s="15" t="n"/>
      <c r="F478" s="15" t="n"/>
      <c r="G478" s="16" t="n"/>
      <c r="H478" s="16" t="n"/>
      <c r="I478" s="16">
        <f>IF(A478="","",SUMIFS('Movimentações'!$E$5:$E$5000,'Movimentações'!$B$5:$B$5000,A478,'Movimentações'!$D$5:$D$5000,"Entrada"))</f>
        <v/>
      </c>
      <c r="J478" s="16">
        <f>IF(A478="","",SUMIFS('Movimentações'!$E$5:$E$5000,'Movimentações'!$B$5:$B$5000,A478,'Movimentações'!$D$5:$D$5000,"Saída"))</f>
        <v/>
      </c>
      <c r="K478" s="16">
        <f>IF(A478="","",G478+I478-J478)</f>
        <v/>
      </c>
      <c r="L478" s="14">
        <f>IF(A478="","",IF(K478&lt;=0,"SEM ESTOQUE",IF(K478&lt;=H478,"REPOR","OK")))</f>
        <v/>
      </c>
      <c r="M478" s="15">
        <f>IF(A478="","",MAX(K478,0)*E478)</f>
        <v/>
      </c>
      <c r="N478" s="16">
        <f>IF(A478="","",IF(K478&lt;=H478,MAX(2*H478-K478,0),0))</f>
        <v/>
      </c>
      <c r="O478" s="17">
        <f>IF(OR(A478="",F478=0,F478=""),"",(F478-E478)/F478)</f>
        <v/>
      </c>
    </row>
    <row r="479">
      <c r="A479" s="14" t="n"/>
      <c r="B479" s="14" t="n"/>
      <c r="C479" s="14" t="n"/>
      <c r="D479" s="14" t="n"/>
      <c r="E479" s="15" t="n"/>
      <c r="F479" s="15" t="n"/>
      <c r="G479" s="16" t="n"/>
      <c r="H479" s="16" t="n"/>
      <c r="I479" s="16">
        <f>IF(A479="","",SUMIFS('Movimentações'!$E$5:$E$5000,'Movimentações'!$B$5:$B$5000,A479,'Movimentações'!$D$5:$D$5000,"Entrada"))</f>
        <v/>
      </c>
      <c r="J479" s="16">
        <f>IF(A479="","",SUMIFS('Movimentações'!$E$5:$E$5000,'Movimentações'!$B$5:$B$5000,A479,'Movimentações'!$D$5:$D$5000,"Saída"))</f>
        <v/>
      </c>
      <c r="K479" s="16">
        <f>IF(A479="","",G479+I479-J479)</f>
        <v/>
      </c>
      <c r="L479" s="14">
        <f>IF(A479="","",IF(K479&lt;=0,"SEM ESTOQUE",IF(K479&lt;=H479,"REPOR","OK")))</f>
        <v/>
      </c>
      <c r="M479" s="15">
        <f>IF(A479="","",MAX(K479,0)*E479)</f>
        <v/>
      </c>
      <c r="N479" s="16">
        <f>IF(A479="","",IF(K479&lt;=H479,MAX(2*H479-K479,0),0))</f>
        <v/>
      </c>
      <c r="O479" s="17">
        <f>IF(OR(A479="",F479=0,F479=""),"",(F479-E479)/F479)</f>
        <v/>
      </c>
    </row>
    <row r="480">
      <c r="A480" s="14" t="n"/>
      <c r="B480" s="14" t="n"/>
      <c r="C480" s="14" t="n"/>
      <c r="D480" s="14" t="n"/>
      <c r="E480" s="15" t="n"/>
      <c r="F480" s="15" t="n"/>
      <c r="G480" s="16" t="n"/>
      <c r="H480" s="16" t="n"/>
      <c r="I480" s="16">
        <f>IF(A480="","",SUMIFS('Movimentações'!$E$5:$E$5000,'Movimentações'!$B$5:$B$5000,A480,'Movimentações'!$D$5:$D$5000,"Entrada"))</f>
        <v/>
      </c>
      <c r="J480" s="16">
        <f>IF(A480="","",SUMIFS('Movimentações'!$E$5:$E$5000,'Movimentações'!$B$5:$B$5000,A480,'Movimentações'!$D$5:$D$5000,"Saída"))</f>
        <v/>
      </c>
      <c r="K480" s="16">
        <f>IF(A480="","",G480+I480-J480)</f>
        <v/>
      </c>
      <c r="L480" s="14">
        <f>IF(A480="","",IF(K480&lt;=0,"SEM ESTOQUE",IF(K480&lt;=H480,"REPOR","OK")))</f>
        <v/>
      </c>
      <c r="M480" s="15">
        <f>IF(A480="","",MAX(K480,0)*E480)</f>
        <v/>
      </c>
      <c r="N480" s="16">
        <f>IF(A480="","",IF(K480&lt;=H480,MAX(2*H480-K480,0),0))</f>
        <v/>
      </c>
      <c r="O480" s="17">
        <f>IF(OR(A480="",F480=0,F480=""),"",(F480-E480)/F480)</f>
        <v/>
      </c>
    </row>
    <row r="481">
      <c r="A481" s="14" t="n"/>
      <c r="B481" s="14" t="n"/>
      <c r="C481" s="14" t="n"/>
      <c r="D481" s="14" t="n"/>
      <c r="E481" s="15" t="n"/>
      <c r="F481" s="15" t="n"/>
      <c r="G481" s="16" t="n"/>
      <c r="H481" s="16" t="n"/>
      <c r="I481" s="16">
        <f>IF(A481="","",SUMIFS('Movimentações'!$E$5:$E$5000,'Movimentações'!$B$5:$B$5000,A481,'Movimentações'!$D$5:$D$5000,"Entrada"))</f>
        <v/>
      </c>
      <c r="J481" s="16">
        <f>IF(A481="","",SUMIFS('Movimentações'!$E$5:$E$5000,'Movimentações'!$B$5:$B$5000,A481,'Movimentações'!$D$5:$D$5000,"Saída"))</f>
        <v/>
      </c>
      <c r="K481" s="16">
        <f>IF(A481="","",G481+I481-J481)</f>
        <v/>
      </c>
      <c r="L481" s="14">
        <f>IF(A481="","",IF(K481&lt;=0,"SEM ESTOQUE",IF(K481&lt;=H481,"REPOR","OK")))</f>
        <v/>
      </c>
      <c r="M481" s="15">
        <f>IF(A481="","",MAX(K481,0)*E481)</f>
        <v/>
      </c>
      <c r="N481" s="16">
        <f>IF(A481="","",IF(K481&lt;=H481,MAX(2*H481-K481,0),0))</f>
        <v/>
      </c>
      <c r="O481" s="17">
        <f>IF(OR(A481="",F481=0,F481=""),"",(F481-E481)/F481)</f>
        <v/>
      </c>
    </row>
    <row r="482">
      <c r="A482" s="14" t="n"/>
      <c r="B482" s="14" t="n"/>
      <c r="C482" s="14" t="n"/>
      <c r="D482" s="14" t="n"/>
      <c r="E482" s="15" t="n"/>
      <c r="F482" s="15" t="n"/>
      <c r="G482" s="16" t="n"/>
      <c r="H482" s="16" t="n"/>
      <c r="I482" s="16">
        <f>IF(A482="","",SUMIFS('Movimentações'!$E$5:$E$5000,'Movimentações'!$B$5:$B$5000,A482,'Movimentações'!$D$5:$D$5000,"Entrada"))</f>
        <v/>
      </c>
      <c r="J482" s="16">
        <f>IF(A482="","",SUMIFS('Movimentações'!$E$5:$E$5000,'Movimentações'!$B$5:$B$5000,A482,'Movimentações'!$D$5:$D$5000,"Saída"))</f>
        <v/>
      </c>
      <c r="K482" s="16">
        <f>IF(A482="","",G482+I482-J482)</f>
        <v/>
      </c>
      <c r="L482" s="14">
        <f>IF(A482="","",IF(K482&lt;=0,"SEM ESTOQUE",IF(K482&lt;=H482,"REPOR","OK")))</f>
        <v/>
      </c>
      <c r="M482" s="15">
        <f>IF(A482="","",MAX(K482,0)*E482)</f>
        <v/>
      </c>
      <c r="N482" s="16">
        <f>IF(A482="","",IF(K482&lt;=H482,MAX(2*H482-K482,0),0))</f>
        <v/>
      </c>
      <c r="O482" s="17">
        <f>IF(OR(A482="",F482=0,F482=""),"",(F482-E482)/F482)</f>
        <v/>
      </c>
    </row>
    <row r="483">
      <c r="A483" s="14" t="n"/>
      <c r="B483" s="14" t="n"/>
      <c r="C483" s="14" t="n"/>
      <c r="D483" s="14" t="n"/>
      <c r="E483" s="15" t="n"/>
      <c r="F483" s="15" t="n"/>
      <c r="G483" s="16" t="n"/>
      <c r="H483" s="16" t="n"/>
      <c r="I483" s="16">
        <f>IF(A483="","",SUMIFS('Movimentações'!$E$5:$E$5000,'Movimentações'!$B$5:$B$5000,A483,'Movimentações'!$D$5:$D$5000,"Entrada"))</f>
        <v/>
      </c>
      <c r="J483" s="16">
        <f>IF(A483="","",SUMIFS('Movimentações'!$E$5:$E$5000,'Movimentações'!$B$5:$B$5000,A483,'Movimentações'!$D$5:$D$5000,"Saída"))</f>
        <v/>
      </c>
      <c r="K483" s="16">
        <f>IF(A483="","",G483+I483-J483)</f>
        <v/>
      </c>
      <c r="L483" s="14">
        <f>IF(A483="","",IF(K483&lt;=0,"SEM ESTOQUE",IF(K483&lt;=H483,"REPOR","OK")))</f>
        <v/>
      </c>
      <c r="M483" s="15">
        <f>IF(A483="","",MAX(K483,0)*E483)</f>
        <v/>
      </c>
      <c r="N483" s="16">
        <f>IF(A483="","",IF(K483&lt;=H483,MAX(2*H483-K483,0),0))</f>
        <v/>
      </c>
      <c r="O483" s="17">
        <f>IF(OR(A483="",F483=0,F483=""),"",(F483-E483)/F483)</f>
        <v/>
      </c>
    </row>
    <row r="484">
      <c r="A484" s="14" t="n"/>
      <c r="B484" s="14" t="n"/>
      <c r="C484" s="14" t="n"/>
      <c r="D484" s="14" t="n"/>
      <c r="E484" s="15" t="n"/>
      <c r="F484" s="15" t="n"/>
      <c r="G484" s="16" t="n"/>
      <c r="H484" s="16" t="n"/>
      <c r="I484" s="16">
        <f>IF(A484="","",SUMIFS('Movimentações'!$E$5:$E$5000,'Movimentações'!$B$5:$B$5000,A484,'Movimentações'!$D$5:$D$5000,"Entrada"))</f>
        <v/>
      </c>
      <c r="J484" s="16">
        <f>IF(A484="","",SUMIFS('Movimentações'!$E$5:$E$5000,'Movimentações'!$B$5:$B$5000,A484,'Movimentações'!$D$5:$D$5000,"Saída"))</f>
        <v/>
      </c>
      <c r="K484" s="16">
        <f>IF(A484="","",G484+I484-J484)</f>
        <v/>
      </c>
      <c r="L484" s="14">
        <f>IF(A484="","",IF(K484&lt;=0,"SEM ESTOQUE",IF(K484&lt;=H484,"REPOR","OK")))</f>
        <v/>
      </c>
      <c r="M484" s="15">
        <f>IF(A484="","",MAX(K484,0)*E484)</f>
        <v/>
      </c>
      <c r="N484" s="16">
        <f>IF(A484="","",IF(K484&lt;=H484,MAX(2*H484-K484,0),0))</f>
        <v/>
      </c>
      <c r="O484" s="17">
        <f>IF(OR(A484="",F484=0,F484=""),"",(F484-E484)/F484)</f>
        <v/>
      </c>
    </row>
    <row r="485">
      <c r="A485" s="14" t="n"/>
      <c r="B485" s="14" t="n"/>
      <c r="C485" s="14" t="n"/>
      <c r="D485" s="14" t="n"/>
      <c r="E485" s="15" t="n"/>
      <c r="F485" s="15" t="n"/>
      <c r="G485" s="16" t="n"/>
      <c r="H485" s="16" t="n"/>
      <c r="I485" s="16">
        <f>IF(A485="","",SUMIFS('Movimentações'!$E$5:$E$5000,'Movimentações'!$B$5:$B$5000,A485,'Movimentações'!$D$5:$D$5000,"Entrada"))</f>
        <v/>
      </c>
      <c r="J485" s="16">
        <f>IF(A485="","",SUMIFS('Movimentações'!$E$5:$E$5000,'Movimentações'!$B$5:$B$5000,A485,'Movimentações'!$D$5:$D$5000,"Saída"))</f>
        <v/>
      </c>
      <c r="K485" s="16">
        <f>IF(A485="","",G485+I485-J485)</f>
        <v/>
      </c>
      <c r="L485" s="14">
        <f>IF(A485="","",IF(K485&lt;=0,"SEM ESTOQUE",IF(K485&lt;=H485,"REPOR","OK")))</f>
        <v/>
      </c>
      <c r="M485" s="15">
        <f>IF(A485="","",MAX(K485,0)*E485)</f>
        <v/>
      </c>
      <c r="N485" s="16">
        <f>IF(A485="","",IF(K485&lt;=H485,MAX(2*H485-K485,0),0))</f>
        <v/>
      </c>
      <c r="O485" s="17">
        <f>IF(OR(A485="",F485=0,F485=""),"",(F485-E485)/F485)</f>
        <v/>
      </c>
    </row>
    <row r="486">
      <c r="A486" s="14" t="n"/>
      <c r="B486" s="14" t="n"/>
      <c r="C486" s="14" t="n"/>
      <c r="D486" s="14" t="n"/>
      <c r="E486" s="15" t="n"/>
      <c r="F486" s="15" t="n"/>
      <c r="G486" s="16" t="n"/>
      <c r="H486" s="16" t="n"/>
      <c r="I486" s="16">
        <f>IF(A486="","",SUMIFS('Movimentações'!$E$5:$E$5000,'Movimentações'!$B$5:$B$5000,A486,'Movimentações'!$D$5:$D$5000,"Entrada"))</f>
        <v/>
      </c>
      <c r="J486" s="16">
        <f>IF(A486="","",SUMIFS('Movimentações'!$E$5:$E$5000,'Movimentações'!$B$5:$B$5000,A486,'Movimentações'!$D$5:$D$5000,"Saída"))</f>
        <v/>
      </c>
      <c r="K486" s="16">
        <f>IF(A486="","",G486+I486-J486)</f>
        <v/>
      </c>
      <c r="L486" s="14">
        <f>IF(A486="","",IF(K486&lt;=0,"SEM ESTOQUE",IF(K486&lt;=H486,"REPOR","OK")))</f>
        <v/>
      </c>
      <c r="M486" s="15">
        <f>IF(A486="","",MAX(K486,0)*E486)</f>
        <v/>
      </c>
      <c r="N486" s="16">
        <f>IF(A486="","",IF(K486&lt;=H486,MAX(2*H486-K486,0),0))</f>
        <v/>
      </c>
      <c r="O486" s="17">
        <f>IF(OR(A486="",F486=0,F486=""),"",(F486-E486)/F486)</f>
        <v/>
      </c>
    </row>
    <row r="487">
      <c r="A487" s="14" t="n"/>
      <c r="B487" s="14" t="n"/>
      <c r="C487" s="14" t="n"/>
      <c r="D487" s="14" t="n"/>
      <c r="E487" s="15" t="n"/>
      <c r="F487" s="15" t="n"/>
      <c r="G487" s="16" t="n"/>
      <c r="H487" s="16" t="n"/>
      <c r="I487" s="16">
        <f>IF(A487="","",SUMIFS('Movimentações'!$E$5:$E$5000,'Movimentações'!$B$5:$B$5000,A487,'Movimentações'!$D$5:$D$5000,"Entrada"))</f>
        <v/>
      </c>
      <c r="J487" s="16">
        <f>IF(A487="","",SUMIFS('Movimentações'!$E$5:$E$5000,'Movimentações'!$B$5:$B$5000,A487,'Movimentações'!$D$5:$D$5000,"Saída"))</f>
        <v/>
      </c>
      <c r="K487" s="16">
        <f>IF(A487="","",G487+I487-J487)</f>
        <v/>
      </c>
      <c r="L487" s="14">
        <f>IF(A487="","",IF(K487&lt;=0,"SEM ESTOQUE",IF(K487&lt;=H487,"REPOR","OK")))</f>
        <v/>
      </c>
      <c r="M487" s="15">
        <f>IF(A487="","",MAX(K487,0)*E487)</f>
        <v/>
      </c>
      <c r="N487" s="16">
        <f>IF(A487="","",IF(K487&lt;=H487,MAX(2*H487-K487,0),0))</f>
        <v/>
      </c>
      <c r="O487" s="17">
        <f>IF(OR(A487="",F487=0,F487=""),"",(F487-E487)/F487)</f>
        <v/>
      </c>
    </row>
    <row r="488">
      <c r="A488" s="14" t="n"/>
      <c r="B488" s="14" t="n"/>
      <c r="C488" s="14" t="n"/>
      <c r="D488" s="14" t="n"/>
      <c r="E488" s="15" t="n"/>
      <c r="F488" s="15" t="n"/>
      <c r="G488" s="16" t="n"/>
      <c r="H488" s="16" t="n"/>
      <c r="I488" s="16">
        <f>IF(A488="","",SUMIFS('Movimentações'!$E$5:$E$5000,'Movimentações'!$B$5:$B$5000,A488,'Movimentações'!$D$5:$D$5000,"Entrada"))</f>
        <v/>
      </c>
      <c r="J488" s="16">
        <f>IF(A488="","",SUMIFS('Movimentações'!$E$5:$E$5000,'Movimentações'!$B$5:$B$5000,A488,'Movimentações'!$D$5:$D$5000,"Saída"))</f>
        <v/>
      </c>
      <c r="K488" s="16">
        <f>IF(A488="","",G488+I488-J488)</f>
        <v/>
      </c>
      <c r="L488" s="14">
        <f>IF(A488="","",IF(K488&lt;=0,"SEM ESTOQUE",IF(K488&lt;=H488,"REPOR","OK")))</f>
        <v/>
      </c>
      <c r="M488" s="15">
        <f>IF(A488="","",MAX(K488,0)*E488)</f>
        <v/>
      </c>
      <c r="N488" s="16">
        <f>IF(A488="","",IF(K488&lt;=H488,MAX(2*H488-K488,0),0))</f>
        <v/>
      </c>
      <c r="O488" s="17">
        <f>IF(OR(A488="",F488=0,F488=""),"",(F488-E488)/F488)</f>
        <v/>
      </c>
    </row>
    <row r="489">
      <c r="A489" s="14" t="n"/>
      <c r="B489" s="14" t="n"/>
      <c r="C489" s="14" t="n"/>
      <c r="D489" s="14" t="n"/>
      <c r="E489" s="15" t="n"/>
      <c r="F489" s="15" t="n"/>
      <c r="G489" s="16" t="n"/>
      <c r="H489" s="16" t="n"/>
      <c r="I489" s="16">
        <f>IF(A489="","",SUMIFS('Movimentações'!$E$5:$E$5000,'Movimentações'!$B$5:$B$5000,A489,'Movimentações'!$D$5:$D$5000,"Entrada"))</f>
        <v/>
      </c>
      <c r="J489" s="16">
        <f>IF(A489="","",SUMIFS('Movimentações'!$E$5:$E$5000,'Movimentações'!$B$5:$B$5000,A489,'Movimentações'!$D$5:$D$5000,"Saída"))</f>
        <v/>
      </c>
      <c r="K489" s="16">
        <f>IF(A489="","",G489+I489-J489)</f>
        <v/>
      </c>
      <c r="L489" s="14">
        <f>IF(A489="","",IF(K489&lt;=0,"SEM ESTOQUE",IF(K489&lt;=H489,"REPOR","OK")))</f>
        <v/>
      </c>
      <c r="M489" s="15">
        <f>IF(A489="","",MAX(K489,0)*E489)</f>
        <v/>
      </c>
      <c r="N489" s="16">
        <f>IF(A489="","",IF(K489&lt;=H489,MAX(2*H489-K489,0),0))</f>
        <v/>
      </c>
      <c r="O489" s="17">
        <f>IF(OR(A489="",F489=0,F489=""),"",(F489-E489)/F489)</f>
        <v/>
      </c>
    </row>
    <row r="490">
      <c r="A490" s="14" t="n"/>
      <c r="B490" s="14" t="n"/>
      <c r="C490" s="14" t="n"/>
      <c r="D490" s="14" t="n"/>
      <c r="E490" s="15" t="n"/>
      <c r="F490" s="15" t="n"/>
      <c r="G490" s="16" t="n"/>
      <c r="H490" s="16" t="n"/>
      <c r="I490" s="16">
        <f>IF(A490="","",SUMIFS('Movimentações'!$E$5:$E$5000,'Movimentações'!$B$5:$B$5000,A490,'Movimentações'!$D$5:$D$5000,"Entrada"))</f>
        <v/>
      </c>
      <c r="J490" s="16">
        <f>IF(A490="","",SUMIFS('Movimentações'!$E$5:$E$5000,'Movimentações'!$B$5:$B$5000,A490,'Movimentações'!$D$5:$D$5000,"Saída"))</f>
        <v/>
      </c>
      <c r="K490" s="16">
        <f>IF(A490="","",G490+I490-J490)</f>
        <v/>
      </c>
      <c r="L490" s="14">
        <f>IF(A490="","",IF(K490&lt;=0,"SEM ESTOQUE",IF(K490&lt;=H490,"REPOR","OK")))</f>
        <v/>
      </c>
      <c r="M490" s="15">
        <f>IF(A490="","",MAX(K490,0)*E490)</f>
        <v/>
      </c>
      <c r="N490" s="16">
        <f>IF(A490="","",IF(K490&lt;=H490,MAX(2*H490-K490,0),0))</f>
        <v/>
      </c>
      <c r="O490" s="17">
        <f>IF(OR(A490="",F490=0,F490=""),"",(F490-E490)/F490)</f>
        <v/>
      </c>
    </row>
    <row r="491">
      <c r="A491" s="14" t="n"/>
      <c r="B491" s="14" t="n"/>
      <c r="C491" s="14" t="n"/>
      <c r="D491" s="14" t="n"/>
      <c r="E491" s="15" t="n"/>
      <c r="F491" s="15" t="n"/>
      <c r="G491" s="16" t="n"/>
      <c r="H491" s="16" t="n"/>
      <c r="I491" s="16">
        <f>IF(A491="","",SUMIFS('Movimentações'!$E$5:$E$5000,'Movimentações'!$B$5:$B$5000,A491,'Movimentações'!$D$5:$D$5000,"Entrada"))</f>
        <v/>
      </c>
      <c r="J491" s="16">
        <f>IF(A491="","",SUMIFS('Movimentações'!$E$5:$E$5000,'Movimentações'!$B$5:$B$5000,A491,'Movimentações'!$D$5:$D$5000,"Saída"))</f>
        <v/>
      </c>
      <c r="K491" s="16">
        <f>IF(A491="","",G491+I491-J491)</f>
        <v/>
      </c>
      <c r="L491" s="14">
        <f>IF(A491="","",IF(K491&lt;=0,"SEM ESTOQUE",IF(K491&lt;=H491,"REPOR","OK")))</f>
        <v/>
      </c>
      <c r="M491" s="15">
        <f>IF(A491="","",MAX(K491,0)*E491)</f>
        <v/>
      </c>
      <c r="N491" s="16">
        <f>IF(A491="","",IF(K491&lt;=H491,MAX(2*H491-K491,0),0))</f>
        <v/>
      </c>
      <c r="O491" s="17">
        <f>IF(OR(A491="",F491=0,F491=""),"",(F491-E491)/F491)</f>
        <v/>
      </c>
    </row>
    <row r="492">
      <c r="A492" s="14" t="n"/>
      <c r="B492" s="14" t="n"/>
      <c r="C492" s="14" t="n"/>
      <c r="D492" s="14" t="n"/>
      <c r="E492" s="15" t="n"/>
      <c r="F492" s="15" t="n"/>
      <c r="G492" s="16" t="n"/>
      <c r="H492" s="16" t="n"/>
      <c r="I492" s="16">
        <f>IF(A492="","",SUMIFS('Movimentações'!$E$5:$E$5000,'Movimentações'!$B$5:$B$5000,A492,'Movimentações'!$D$5:$D$5000,"Entrada"))</f>
        <v/>
      </c>
      <c r="J492" s="16">
        <f>IF(A492="","",SUMIFS('Movimentações'!$E$5:$E$5000,'Movimentações'!$B$5:$B$5000,A492,'Movimentações'!$D$5:$D$5000,"Saída"))</f>
        <v/>
      </c>
      <c r="K492" s="16">
        <f>IF(A492="","",G492+I492-J492)</f>
        <v/>
      </c>
      <c r="L492" s="14">
        <f>IF(A492="","",IF(K492&lt;=0,"SEM ESTOQUE",IF(K492&lt;=H492,"REPOR","OK")))</f>
        <v/>
      </c>
      <c r="M492" s="15">
        <f>IF(A492="","",MAX(K492,0)*E492)</f>
        <v/>
      </c>
      <c r="N492" s="16">
        <f>IF(A492="","",IF(K492&lt;=H492,MAX(2*H492-K492,0),0))</f>
        <v/>
      </c>
      <c r="O492" s="17">
        <f>IF(OR(A492="",F492=0,F492=""),"",(F492-E492)/F492)</f>
        <v/>
      </c>
    </row>
    <row r="493">
      <c r="A493" s="14" t="n"/>
      <c r="B493" s="14" t="n"/>
      <c r="C493" s="14" t="n"/>
      <c r="D493" s="14" t="n"/>
      <c r="E493" s="15" t="n"/>
      <c r="F493" s="15" t="n"/>
      <c r="G493" s="16" t="n"/>
      <c r="H493" s="16" t="n"/>
      <c r="I493" s="16">
        <f>IF(A493="","",SUMIFS('Movimentações'!$E$5:$E$5000,'Movimentações'!$B$5:$B$5000,A493,'Movimentações'!$D$5:$D$5000,"Entrada"))</f>
        <v/>
      </c>
      <c r="J493" s="16">
        <f>IF(A493="","",SUMIFS('Movimentações'!$E$5:$E$5000,'Movimentações'!$B$5:$B$5000,A493,'Movimentações'!$D$5:$D$5000,"Saída"))</f>
        <v/>
      </c>
      <c r="K493" s="16">
        <f>IF(A493="","",G493+I493-J493)</f>
        <v/>
      </c>
      <c r="L493" s="14">
        <f>IF(A493="","",IF(K493&lt;=0,"SEM ESTOQUE",IF(K493&lt;=H493,"REPOR","OK")))</f>
        <v/>
      </c>
      <c r="M493" s="15">
        <f>IF(A493="","",MAX(K493,0)*E493)</f>
        <v/>
      </c>
      <c r="N493" s="16">
        <f>IF(A493="","",IF(K493&lt;=H493,MAX(2*H493-K493,0),0))</f>
        <v/>
      </c>
      <c r="O493" s="17">
        <f>IF(OR(A493="",F493=0,F493=""),"",(F493-E493)/F493)</f>
        <v/>
      </c>
    </row>
    <row r="494">
      <c r="A494" s="14" t="n"/>
      <c r="B494" s="14" t="n"/>
      <c r="C494" s="14" t="n"/>
      <c r="D494" s="14" t="n"/>
      <c r="E494" s="15" t="n"/>
      <c r="F494" s="15" t="n"/>
      <c r="G494" s="16" t="n"/>
      <c r="H494" s="16" t="n"/>
      <c r="I494" s="16">
        <f>IF(A494="","",SUMIFS('Movimentações'!$E$5:$E$5000,'Movimentações'!$B$5:$B$5000,A494,'Movimentações'!$D$5:$D$5000,"Entrada"))</f>
        <v/>
      </c>
      <c r="J494" s="16">
        <f>IF(A494="","",SUMIFS('Movimentações'!$E$5:$E$5000,'Movimentações'!$B$5:$B$5000,A494,'Movimentações'!$D$5:$D$5000,"Saída"))</f>
        <v/>
      </c>
      <c r="K494" s="16">
        <f>IF(A494="","",G494+I494-J494)</f>
        <v/>
      </c>
      <c r="L494" s="14">
        <f>IF(A494="","",IF(K494&lt;=0,"SEM ESTOQUE",IF(K494&lt;=H494,"REPOR","OK")))</f>
        <v/>
      </c>
      <c r="M494" s="15">
        <f>IF(A494="","",MAX(K494,0)*E494)</f>
        <v/>
      </c>
      <c r="N494" s="16">
        <f>IF(A494="","",IF(K494&lt;=H494,MAX(2*H494-K494,0),0))</f>
        <v/>
      </c>
      <c r="O494" s="17">
        <f>IF(OR(A494="",F494=0,F494=""),"",(F494-E494)/F494)</f>
        <v/>
      </c>
    </row>
    <row r="495">
      <c r="A495" s="14" t="n"/>
      <c r="B495" s="14" t="n"/>
      <c r="C495" s="14" t="n"/>
      <c r="D495" s="14" t="n"/>
      <c r="E495" s="15" t="n"/>
      <c r="F495" s="15" t="n"/>
      <c r="G495" s="16" t="n"/>
      <c r="H495" s="16" t="n"/>
      <c r="I495" s="16">
        <f>IF(A495="","",SUMIFS('Movimentações'!$E$5:$E$5000,'Movimentações'!$B$5:$B$5000,A495,'Movimentações'!$D$5:$D$5000,"Entrada"))</f>
        <v/>
      </c>
      <c r="J495" s="16">
        <f>IF(A495="","",SUMIFS('Movimentações'!$E$5:$E$5000,'Movimentações'!$B$5:$B$5000,A495,'Movimentações'!$D$5:$D$5000,"Saída"))</f>
        <v/>
      </c>
      <c r="K495" s="16">
        <f>IF(A495="","",G495+I495-J495)</f>
        <v/>
      </c>
      <c r="L495" s="14">
        <f>IF(A495="","",IF(K495&lt;=0,"SEM ESTOQUE",IF(K495&lt;=H495,"REPOR","OK")))</f>
        <v/>
      </c>
      <c r="M495" s="15">
        <f>IF(A495="","",MAX(K495,0)*E495)</f>
        <v/>
      </c>
      <c r="N495" s="16">
        <f>IF(A495="","",IF(K495&lt;=H495,MAX(2*H495-K495,0),0))</f>
        <v/>
      </c>
      <c r="O495" s="17">
        <f>IF(OR(A495="",F495=0,F495=""),"",(F495-E495)/F495)</f>
        <v/>
      </c>
    </row>
    <row r="496">
      <c r="A496" s="14" t="n"/>
      <c r="B496" s="14" t="n"/>
      <c r="C496" s="14" t="n"/>
      <c r="D496" s="14" t="n"/>
      <c r="E496" s="15" t="n"/>
      <c r="F496" s="15" t="n"/>
      <c r="G496" s="16" t="n"/>
      <c r="H496" s="16" t="n"/>
      <c r="I496" s="16">
        <f>IF(A496="","",SUMIFS('Movimentações'!$E$5:$E$5000,'Movimentações'!$B$5:$B$5000,A496,'Movimentações'!$D$5:$D$5000,"Entrada"))</f>
        <v/>
      </c>
      <c r="J496" s="16">
        <f>IF(A496="","",SUMIFS('Movimentações'!$E$5:$E$5000,'Movimentações'!$B$5:$B$5000,A496,'Movimentações'!$D$5:$D$5000,"Saída"))</f>
        <v/>
      </c>
      <c r="K496" s="16">
        <f>IF(A496="","",G496+I496-J496)</f>
        <v/>
      </c>
      <c r="L496" s="14">
        <f>IF(A496="","",IF(K496&lt;=0,"SEM ESTOQUE",IF(K496&lt;=H496,"REPOR","OK")))</f>
        <v/>
      </c>
      <c r="M496" s="15">
        <f>IF(A496="","",MAX(K496,0)*E496)</f>
        <v/>
      </c>
      <c r="N496" s="16">
        <f>IF(A496="","",IF(K496&lt;=H496,MAX(2*H496-K496,0),0))</f>
        <v/>
      </c>
      <c r="O496" s="17">
        <f>IF(OR(A496="",F496=0,F496=""),"",(F496-E496)/F496)</f>
        <v/>
      </c>
    </row>
    <row r="497">
      <c r="A497" s="14" t="n"/>
      <c r="B497" s="14" t="n"/>
      <c r="C497" s="14" t="n"/>
      <c r="D497" s="14" t="n"/>
      <c r="E497" s="15" t="n"/>
      <c r="F497" s="15" t="n"/>
      <c r="G497" s="16" t="n"/>
      <c r="H497" s="16" t="n"/>
      <c r="I497" s="16">
        <f>IF(A497="","",SUMIFS('Movimentações'!$E$5:$E$5000,'Movimentações'!$B$5:$B$5000,A497,'Movimentações'!$D$5:$D$5000,"Entrada"))</f>
        <v/>
      </c>
      <c r="J497" s="16">
        <f>IF(A497="","",SUMIFS('Movimentações'!$E$5:$E$5000,'Movimentações'!$B$5:$B$5000,A497,'Movimentações'!$D$5:$D$5000,"Saída"))</f>
        <v/>
      </c>
      <c r="K497" s="16">
        <f>IF(A497="","",G497+I497-J497)</f>
        <v/>
      </c>
      <c r="L497" s="14">
        <f>IF(A497="","",IF(K497&lt;=0,"SEM ESTOQUE",IF(K497&lt;=H497,"REPOR","OK")))</f>
        <v/>
      </c>
      <c r="M497" s="15">
        <f>IF(A497="","",MAX(K497,0)*E497)</f>
        <v/>
      </c>
      <c r="N497" s="16">
        <f>IF(A497="","",IF(K497&lt;=H497,MAX(2*H497-K497,0),0))</f>
        <v/>
      </c>
      <c r="O497" s="17">
        <f>IF(OR(A497="",F497=0,F497=""),"",(F497-E497)/F497)</f>
        <v/>
      </c>
    </row>
    <row r="498">
      <c r="A498" s="14" t="n"/>
      <c r="B498" s="14" t="n"/>
      <c r="C498" s="14" t="n"/>
      <c r="D498" s="14" t="n"/>
      <c r="E498" s="15" t="n"/>
      <c r="F498" s="15" t="n"/>
      <c r="G498" s="16" t="n"/>
      <c r="H498" s="16" t="n"/>
      <c r="I498" s="16">
        <f>IF(A498="","",SUMIFS('Movimentações'!$E$5:$E$5000,'Movimentações'!$B$5:$B$5000,A498,'Movimentações'!$D$5:$D$5000,"Entrada"))</f>
        <v/>
      </c>
      <c r="J498" s="16">
        <f>IF(A498="","",SUMIFS('Movimentações'!$E$5:$E$5000,'Movimentações'!$B$5:$B$5000,A498,'Movimentações'!$D$5:$D$5000,"Saída"))</f>
        <v/>
      </c>
      <c r="K498" s="16">
        <f>IF(A498="","",G498+I498-J498)</f>
        <v/>
      </c>
      <c r="L498" s="14">
        <f>IF(A498="","",IF(K498&lt;=0,"SEM ESTOQUE",IF(K498&lt;=H498,"REPOR","OK")))</f>
        <v/>
      </c>
      <c r="M498" s="15">
        <f>IF(A498="","",MAX(K498,0)*E498)</f>
        <v/>
      </c>
      <c r="N498" s="16">
        <f>IF(A498="","",IF(K498&lt;=H498,MAX(2*H498-K498,0),0))</f>
        <v/>
      </c>
      <c r="O498" s="17">
        <f>IF(OR(A498="",F498=0,F498=""),"",(F498-E498)/F498)</f>
        <v/>
      </c>
    </row>
    <row r="499">
      <c r="A499" s="14" t="n"/>
      <c r="B499" s="14" t="n"/>
      <c r="C499" s="14" t="n"/>
      <c r="D499" s="14" t="n"/>
      <c r="E499" s="15" t="n"/>
      <c r="F499" s="15" t="n"/>
      <c r="G499" s="16" t="n"/>
      <c r="H499" s="16" t="n"/>
      <c r="I499" s="16">
        <f>IF(A499="","",SUMIFS('Movimentações'!$E$5:$E$5000,'Movimentações'!$B$5:$B$5000,A499,'Movimentações'!$D$5:$D$5000,"Entrada"))</f>
        <v/>
      </c>
      <c r="J499" s="16">
        <f>IF(A499="","",SUMIFS('Movimentações'!$E$5:$E$5000,'Movimentações'!$B$5:$B$5000,A499,'Movimentações'!$D$5:$D$5000,"Saída"))</f>
        <v/>
      </c>
      <c r="K499" s="16">
        <f>IF(A499="","",G499+I499-J499)</f>
        <v/>
      </c>
      <c r="L499" s="14">
        <f>IF(A499="","",IF(K499&lt;=0,"SEM ESTOQUE",IF(K499&lt;=H499,"REPOR","OK")))</f>
        <v/>
      </c>
      <c r="M499" s="15">
        <f>IF(A499="","",MAX(K499,0)*E499)</f>
        <v/>
      </c>
      <c r="N499" s="16">
        <f>IF(A499="","",IF(K499&lt;=H499,MAX(2*H499-K499,0),0))</f>
        <v/>
      </c>
      <c r="O499" s="17">
        <f>IF(OR(A499="",F499=0,F499=""),"",(F499-E499)/F499)</f>
        <v/>
      </c>
    </row>
    <row r="500">
      <c r="A500" s="14" t="n"/>
      <c r="B500" s="14" t="n"/>
      <c r="C500" s="14" t="n"/>
      <c r="D500" s="14" t="n"/>
      <c r="E500" s="15" t="n"/>
      <c r="F500" s="15" t="n"/>
      <c r="G500" s="16" t="n"/>
      <c r="H500" s="16" t="n"/>
      <c r="I500" s="16">
        <f>IF(A500="","",SUMIFS('Movimentações'!$E$5:$E$5000,'Movimentações'!$B$5:$B$5000,A500,'Movimentações'!$D$5:$D$5000,"Entrada"))</f>
        <v/>
      </c>
      <c r="J500" s="16">
        <f>IF(A500="","",SUMIFS('Movimentações'!$E$5:$E$5000,'Movimentações'!$B$5:$B$5000,A500,'Movimentações'!$D$5:$D$5000,"Saída"))</f>
        <v/>
      </c>
      <c r="K500" s="16">
        <f>IF(A500="","",G500+I500-J500)</f>
        <v/>
      </c>
      <c r="L500" s="14">
        <f>IF(A500="","",IF(K500&lt;=0,"SEM ESTOQUE",IF(K500&lt;=H500,"REPOR","OK")))</f>
        <v/>
      </c>
      <c r="M500" s="15">
        <f>IF(A500="","",MAX(K500,0)*E500)</f>
        <v/>
      </c>
      <c r="N500" s="16">
        <f>IF(A500="","",IF(K500&lt;=H500,MAX(2*H500-K500,0),0))</f>
        <v/>
      </c>
      <c r="O500" s="17">
        <f>IF(OR(A500="",F500=0,F500=""),"",(F500-E500)/F500)</f>
        <v/>
      </c>
    </row>
    <row r="501">
      <c r="A501" s="14" t="n"/>
      <c r="B501" s="14" t="n"/>
      <c r="C501" s="14" t="n"/>
      <c r="D501" s="14" t="n"/>
      <c r="E501" s="15" t="n"/>
      <c r="F501" s="15" t="n"/>
      <c r="G501" s="16" t="n"/>
      <c r="H501" s="16" t="n"/>
      <c r="I501" s="16">
        <f>IF(A501="","",SUMIFS('Movimentações'!$E$5:$E$5000,'Movimentações'!$B$5:$B$5000,A501,'Movimentações'!$D$5:$D$5000,"Entrada"))</f>
        <v/>
      </c>
      <c r="J501" s="16">
        <f>IF(A501="","",SUMIFS('Movimentações'!$E$5:$E$5000,'Movimentações'!$B$5:$B$5000,A501,'Movimentações'!$D$5:$D$5000,"Saída"))</f>
        <v/>
      </c>
      <c r="K501" s="16">
        <f>IF(A501="","",G501+I501-J501)</f>
        <v/>
      </c>
      <c r="L501" s="14">
        <f>IF(A501="","",IF(K501&lt;=0,"SEM ESTOQUE",IF(K501&lt;=H501,"REPOR","OK")))</f>
        <v/>
      </c>
      <c r="M501" s="15">
        <f>IF(A501="","",MAX(K501,0)*E501)</f>
        <v/>
      </c>
      <c r="N501" s="16">
        <f>IF(A501="","",IF(K501&lt;=H501,MAX(2*H501-K501,0),0))</f>
        <v/>
      </c>
      <c r="O501" s="17">
        <f>IF(OR(A501="",F501=0,F501=""),"",(F501-E501)/F501)</f>
        <v/>
      </c>
    </row>
    <row r="502">
      <c r="A502" s="14" t="n"/>
      <c r="B502" s="14" t="n"/>
      <c r="C502" s="14" t="n"/>
      <c r="D502" s="14" t="n"/>
      <c r="E502" s="15" t="n"/>
      <c r="F502" s="15" t="n"/>
      <c r="G502" s="16" t="n"/>
      <c r="H502" s="16" t="n"/>
      <c r="I502" s="16">
        <f>IF(A502="","",SUMIFS('Movimentações'!$E$5:$E$5000,'Movimentações'!$B$5:$B$5000,A502,'Movimentações'!$D$5:$D$5000,"Entrada"))</f>
        <v/>
      </c>
      <c r="J502" s="16">
        <f>IF(A502="","",SUMIFS('Movimentações'!$E$5:$E$5000,'Movimentações'!$B$5:$B$5000,A502,'Movimentações'!$D$5:$D$5000,"Saída"))</f>
        <v/>
      </c>
      <c r="K502" s="16">
        <f>IF(A502="","",G502+I502-J502)</f>
        <v/>
      </c>
      <c r="L502" s="14">
        <f>IF(A502="","",IF(K502&lt;=0,"SEM ESTOQUE",IF(K502&lt;=H502,"REPOR","OK")))</f>
        <v/>
      </c>
      <c r="M502" s="15">
        <f>IF(A502="","",MAX(K502,0)*E502)</f>
        <v/>
      </c>
      <c r="N502" s="16">
        <f>IF(A502="","",IF(K502&lt;=H502,MAX(2*H502-K502,0),0))</f>
        <v/>
      </c>
      <c r="O502" s="17">
        <f>IF(OR(A502="",F502=0,F502=""),"",(F502-E502)/F502)</f>
        <v/>
      </c>
    </row>
    <row r="503">
      <c r="A503" s="14" t="n"/>
      <c r="B503" s="14" t="n"/>
      <c r="C503" s="14" t="n"/>
      <c r="D503" s="14" t="n"/>
      <c r="E503" s="15" t="n"/>
      <c r="F503" s="15" t="n"/>
      <c r="G503" s="16" t="n"/>
      <c r="H503" s="16" t="n"/>
      <c r="I503" s="16">
        <f>IF(A503="","",SUMIFS('Movimentações'!$E$5:$E$5000,'Movimentações'!$B$5:$B$5000,A503,'Movimentações'!$D$5:$D$5000,"Entrada"))</f>
        <v/>
      </c>
      <c r="J503" s="16">
        <f>IF(A503="","",SUMIFS('Movimentações'!$E$5:$E$5000,'Movimentações'!$B$5:$B$5000,A503,'Movimentações'!$D$5:$D$5000,"Saída"))</f>
        <v/>
      </c>
      <c r="K503" s="16">
        <f>IF(A503="","",G503+I503-J503)</f>
        <v/>
      </c>
      <c r="L503" s="14">
        <f>IF(A503="","",IF(K503&lt;=0,"SEM ESTOQUE",IF(K503&lt;=H503,"REPOR","OK")))</f>
        <v/>
      </c>
      <c r="M503" s="15">
        <f>IF(A503="","",MAX(K503,0)*E503)</f>
        <v/>
      </c>
      <c r="N503" s="16">
        <f>IF(A503="","",IF(K503&lt;=H503,MAX(2*H503-K503,0),0))</f>
        <v/>
      </c>
      <c r="O503" s="17">
        <f>IF(OR(A503="",F503=0,F503=""),"",(F503-E503)/F503)</f>
        <v/>
      </c>
    </row>
    <row r="504">
      <c r="A504" s="14" t="n"/>
      <c r="B504" s="14" t="n"/>
      <c r="C504" s="14" t="n"/>
      <c r="D504" s="14" t="n"/>
      <c r="E504" s="15" t="n"/>
      <c r="F504" s="15" t="n"/>
      <c r="G504" s="16" t="n"/>
      <c r="H504" s="16" t="n"/>
      <c r="I504" s="16">
        <f>IF(A504="","",SUMIFS('Movimentações'!$E$5:$E$5000,'Movimentações'!$B$5:$B$5000,A504,'Movimentações'!$D$5:$D$5000,"Entrada"))</f>
        <v/>
      </c>
      <c r="J504" s="16">
        <f>IF(A504="","",SUMIFS('Movimentações'!$E$5:$E$5000,'Movimentações'!$B$5:$B$5000,A504,'Movimentações'!$D$5:$D$5000,"Saída"))</f>
        <v/>
      </c>
      <c r="K504" s="16">
        <f>IF(A504="","",G504+I504-J504)</f>
        <v/>
      </c>
      <c r="L504" s="14">
        <f>IF(A504="","",IF(K504&lt;=0,"SEM ESTOQUE",IF(K504&lt;=H504,"REPOR","OK")))</f>
        <v/>
      </c>
      <c r="M504" s="15">
        <f>IF(A504="","",MAX(K504,0)*E504)</f>
        <v/>
      </c>
      <c r="N504" s="16">
        <f>IF(A504="","",IF(K504&lt;=H504,MAX(2*H504-K504,0),0))</f>
        <v/>
      </c>
      <c r="O504" s="17">
        <f>IF(OR(A504="",F504=0,F504=""),"",(F504-E504)/F504)</f>
        <v/>
      </c>
    </row>
  </sheetData>
  <conditionalFormatting sqref="L5:L504">
    <cfRule type="expression" priority="1" dxfId="0">
      <formula>L5="SEM ESTOQUE"</formula>
    </cfRule>
    <cfRule type="expression" priority="2" dxfId="1">
      <formula>L5="REPOR"</formula>
    </cfRule>
    <cfRule type="expression" priority="3" dxfId="2">
      <formula>L5="OK"</formula>
    </cfRule>
  </conditionalFormatting>
  <dataValidations count="1">
    <dataValidation sqref="D5:D504" showDropDown="0" showInputMessage="0" showErrorMessage="0" allowBlank="1" errorTitle="Valor inválido" error="Escolha um valor da lista." type="list">
      <formula1>"un,kg,g,L,ml,cx,pct,m,par"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  <col width="11" customWidth="1" min="5" max="5"/>
    <col width="34" customWidth="1" min="6" max="6"/>
  </cols>
  <sheetData>
    <row r="1" ht="28" customHeight="1">
      <c r="A1" s="1" t="inlineStr">
        <is>
          <t>Movimentações</t>
        </is>
      </c>
    </row>
    <row r="2">
      <c r="A2" s="2" t="inlineStr">
        <is>
          <t>Uma linha para cada entrada ou saída de produto.</t>
        </is>
      </c>
    </row>
    <row r="4" ht="32" customHeight="1">
      <c r="A4" s="12" t="inlineStr">
        <is>
          <t>Data</t>
        </is>
      </c>
      <c r="B4" s="12" t="inlineStr">
        <is>
          <t>Código</t>
        </is>
      </c>
      <c r="C4" s="13" t="inlineStr">
        <is>
          <t>Produto</t>
        </is>
      </c>
      <c r="D4" s="12" t="inlineStr">
        <is>
          <t>Tipo</t>
        </is>
      </c>
      <c r="E4" s="12" t="inlineStr">
        <is>
          <t>Quantidade</t>
        </is>
      </c>
      <c r="F4" s="12" t="inlineStr">
        <is>
          <t>Observação</t>
        </is>
      </c>
    </row>
    <row r="5">
      <c r="A5" s="18">
        <f>TODAY()+(-20)</f>
        <v/>
      </c>
      <c r="B5" s="14" t="inlineStr">
        <is>
          <t>P001</t>
        </is>
      </c>
      <c r="C5" s="14">
        <f>IF(B5="","",IFERROR(VLOOKUP(B5,Produtos!$A$5:$B$504,2,FALSE),"código não cadastrado"))</f>
        <v/>
      </c>
      <c r="D5" s="14" t="inlineStr">
        <is>
          <t>Saída</t>
        </is>
      </c>
      <c r="E5" s="16" t="n">
        <v>12</v>
      </c>
      <c r="F5" s="14" t="inlineStr">
        <is>
          <t>vendas da semana</t>
        </is>
      </c>
    </row>
    <row r="6">
      <c r="A6" s="18">
        <f>TODAY()+(-18)</f>
        <v/>
      </c>
      <c r="B6" s="14" t="inlineStr">
        <is>
          <t>P003</t>
        </is>
      </c>
      <c r="C6" s="14">
        <f>IF(B6="","",IFERROR(VLOOKUP(B6,Produtos!$A$5:$B$504,2,FALSE),"código não cadastrado"))</f>
        <v/>
      </c>
      <c r="D6" s="14" t="inlineStr">
        <is>
          <t>Saída</t>
        </is>
      </c>
      <c r="E6" s="16" t="n">
        <v>22</v>
      </c>
      <c r="F6" s="14" t="inlineStr">
        <is>
          <t>vendas da semana</t>
        </is>
      </c>
    </row>
    <row r="7">
      <c r="A7" s="18">
        <f>TODAY()+(-15)</f>
        <v/>
      </c>
      <c r="B7" s="14" t="inlineStr">
        <is>
          <t>P002</t>
        </is>
      </c>
      <c r="C7" s="14">
        <f>IF(B7="","",IFERROR(VLOOKUP(B7,Produtos!$A$5:$B$504,2,FALSE),"código não cadastrado"))</f>
        <v/>
      </c>
      <c r="D7" s="14" t="inlineStr">
        <is>
          <t>Saída</t>
        </is>
      </c>
      <c r="E7" s="16" t="n">
        <v>9</v>
      </c>
      <c r="F7" s="14" t="inlineStr"/>
    </row>
    <row r="8">
      <c r="A8" s="18">
        <f>TODAY()+(-14)</f>
        <v/>
      </c>
      <c r="B8" s="14" t="inlineStr">
        <is>
          <t>P004</t>
        </is>
      </c>
      <c r="C8" s="14">
        <f>IF(B8="","",IFERROR(VLOOKUP(B8,Produtos!$A$5:$B$504,2,FALSE),"código não cadastrado"))</f>
        <v/>
      </c>
      <c r="D8" s="14" t="inlineStr">
        <is>
          <t>Saída</t>
        </is>
      </c>
      <c r="E8" s="16" t="n">
        <v>7</v>
      </c>
      <c r="F8" s="14" t="inlineStr">
        <is>
          <t>evento</t>
        </is>
      </c>
    </row>
    <row r="9">
      <c r="A9" s="18">
        <f>TODAY()+(-12)</f>
        <v/>
      </c>
      <c r="B9" s="14" t="inlineStr">
        <is>
          <t>P001</t>
        </is>
      </c>
      <c r="C9" s="14">
        <f>IF(B9="","",IFERROR(VLOOKUP(B9,Produtos!$A$5:$B$504,2,FALSE),"código não cadastrado"))</f>
        <v/>
      </c>
      <c r="D9" s="14" t="inlineStr">
        <is>
          <t>Entrada</t>
        </is>
      </c>
      <c r="E9" s="16" t="n">
        <v>10</v>
      </c>
      <c r="F9" s="14" t="inlineStr">
        <is>
          <t>compra fornecedor A</t>
        </is>
      </c>
    </row>
    <row r="10">
      <c r="A10" s="18">
        <f>TODAY()+(-10)</f>
        <v/>
      </c>
      <c r="B10" s="14" t="inlineStr">
        <is>
          <t>P006</t>
        </is>
      </c>
      <c r="C10" s="14">
        <f>IF(B10="","",IFERROR(VLOOKUP(B10,Produtos!$A$5:$B$504,2,FALSE),"código não cadastrado"))</f>
        <v/>
      </c>
      <c r="D10" s="14" t="inlineStr">
        <is>
          <t>Saída</t>
        </is>
      </c>
      <c r="E10" s="16" t="n">
        <v>5</v>
      </c>
      <c r="F10" s="14" t="inlineStr"/>
    </row>
    <row r="11">
      <c r="A11" s="18">
        <f>TODAY()+(-9)</f>
        <v/>
      </c>
      <c r="B11" s="14" t="inlineStr">
        <is>
          <t>P008</t>
        </is>
      </c>
      <c r="C11" s="14">
        <f>IF(B11="","",IFERROR(VLOOKUP(B11,Produtos!$A$5:$B$504,2,FALSE),"código não cadastrado"))</f>
        <v/>
      </c>
      <c r="D11" s="14" t="inlineStr">
        <is>
          <t>Saída</t>
        </is>
      </c>
      <c r="E11" s="16" t="n">
        <v>6</v>
      </c>
      <c r="F11" s="14" t="inlineStr"/>
    </row>
    <row r="12">
      <c r="A12" s="18">
        <f>TODAY()+(-7)</f>
        <v/>
      </c>
      <c r="B12" s="14" t="inlineStr">
        <is>
          <t>P003</t>
        </is>
      </c>
      <c r="C12" s="14">
        <f>IF(B12="","",IFERROR(VLOOKUP(B12,Produtos!$A$5:$B$504,2,FALSE),"código não cadastrado"))</f>
        <v/>
      </c>
      <c r="D12" s="14" t="inlineStr">
        <is>
          <t>Saída</t>
        </is>
      </c>
      <c r="E12" s="16" t="n">
        <v>18</v>
      </c>
      <c r="F12" s="14" t="inlineStr"/>
    </row>
    <row r="13">
      <c r="A13" s="18">
        <f>TODAY()+(-6)</f>
        <v/>
      </c>
      <c r="B13" s="14" t="inlineStr">
        <is>
          <t>P005</t>
        </is>
      </c>
      <c r="C13" s="14">
        <f>IF(B13="","",IFERROR(VLOOKUP(B13,Produtos!$A$5:$B$504,2,FALSE),"código não cadastrado"))</f>
        <v/>
      </c>
      <c r="D13" s="14" t="inlineStr">
        <is>
          <t>Saída</t>
        </is>
      </c>
      <c r="E13" s="16" t="n">
        <v>8</v>
      </c>
      <c r="F13" s="14" t="inlineStr"/>
    </row>
    <row r="14">
      <c r="A14" s="18">
        <f>TODAY()+(-5)</f>
        <v/>
      </c>
      <c r="B14" s="14" t="inlineStr">
        <is>
          <t>P007</t>
        </is>
      </c>
      <c r="C14" s="14">
        <f>IF(B14="","",IFERROR(VLOOKUP(B14,Produtos!$A$5:$B$504,2,FALSE),"código não cadastrado"))</f>
        <v/>
      </c>
      <c r="D14" s="14" t="inlineStr">
        <is>
          <t>Saída</t>
        </is>
      </c>
      <c r="E14" s="16" t="n">
        <v>4</v>
      </c>
      <c r="F14" s="14" t="inlineStr"/>
    </row>
    <row r="15">
      <c r="A15" s="18">
        <f>TODAY()+(-3)</f>
        <v/>
      </c>
      <c r="B15" s="14" t="inlineStr">
        <is>
          <t>P002</t>
        </is>
      </c>
      <c r="C15" s="14">
        <f>IF(B15="","",IFERROR(VLOOKUP(B15,Produtos!$A$5:$B$504,2,FALSE),"código não cadastrado"))</f>
        <v/>
      </c>
      <c r="D15" s="14" t="inlineStr">
        <is>
          <t>Entrada</t>
        </is>
      </c>
      <c r="E15" s="16" t="n">
        <v>12</v>
      </c>
      <c r="F15" s="14" t="inlineStr">
        <is>
          <t>compra fornecedor B</t>
        </is>
      </c>
    </row>
    <row r="16">
      <c r="A16" s="18">
        <f>TODAY()+(-2)</f>
        <v/>
      </c>
      <c r="B16" s="14" t="inlineStr">
        <is>
          <t>P004</t>
        </is>
      </c>
      <c r="C16" s="14">
        <f>IF(B16="","",IFERROR(VLOOKUP(B16,Produtos!$A$5:$B$504,2,FALSE),"código não cadastrado"))</f>
        <v/>
      </c>
      <c r="D16" s="14" t="inlineStr">
        <is>
          <t>Saída</t>
        </is>
      </c>
      <c r="E16" s="16" t="n">
        <v>5</v>
      </c>
      <c r="F16" s="14" t="inlineStr"/>
    </row>
    <row r="17">
      <c r="A17" s="18">
        <f>TODAY()+(-1)</f>
        <v/>
      </c>
      <c r="B17" s="14" t="inlineStr">
        <is>
          <t>P008</t>
        </is>
      </c>
      <c r="C17" s="14">
        <f>IF(B17="","",IFERROR(VLOOKUP(B17,Produtos!$A$5:$B$504,2,FALSE),"código não cadastrado"))</f>
        <v/>
      </c>
      <c r="D17" s="14" t="inlineStr">
        <is>
          <t>Saída</t>
        </is>
      </c>
      <c r="E17" s="16" t="n">
        <v>4</v>
      </c>
      <c r="F17" s="14" t="inlineStr"/>
    </row>
    <row r="18">
      <c r="A18" s="18">
        <f>TODAY()+(-1)</f>
        <v/>
      </c>
      <c r="B18" s="14" t="inlineStr">
        <is>
          <t>P001</t>
        </is>
      </c>
      <c r="C18" s="14">
        <f>IF(B18="","",IFERROR(VLOOKUP(B18,Produtos!$A$5:$B$504,2,FALSE),"código não cadastrado"))</f>
        <v/>
      </c>
      <c r="D18" s="14" t="inlineStr">
        <is>
          <t>Saída</t>
        </is>
      </c>
      <c r="E18" s="16" t="n">
        <v>14</v>
      </c>
      <c r="F18" s="14" t="inlineStr"/>
    </row>
    <row r="19">
      <c r="A19" s="18" t="n"/>
      <c r="B19" s="14" t="n"/>
      <c r="C19" s="14">
        <f>IF(B19="","",IFERROR(VLOOKUP(B19,Produtos!$A$5:$B$504,2,FALSE),"código não cadastrado"))</f>
        <v/>
      </c>
      <c r="D19" s="14" t="n"/>
      <c r="E19" s="16" t="n"/>
      <c r="F19" s="14" t="n"/>
    </row>
    <row r="20">
      <c r="A20" s="18" t="n"/>
      <c r="B20" s="14" t="n"/>
      <c r="C20" s="14">
        <f>IF(B20="","",IFERROR(VLOOKUP(B20,Produtos!$A$5:$B$504,2,FALSE),"código não cadastrado"))</f>
        <v/>
      </c>
      <c r="D20" s="14" t="n"/>
      <c r="E20" s="16" t="n"/>
      <c r="F20" s="14" t="n"/>
    </row>
    <row r="21">
      <c r="A21" s="18" t="n"/>
      <c r="B21" s="14" t="n"/>
      <c r="C21" s="14">
        <f>IF(B21="","",IFERROR(VLOOKUP(B21,Produtos!$A$5:$B$504,2,FALSE),"código não cadastrado"))</f>
        <v/>
      </c>
      <c r="D21" s="14" t="n"/>
      <c r="E21" s="16" t="n"/>
      <c r="F21" s="14" t="n"/>
    </row>
    <row r="22">
      <c r="A22" s="18" t="n"/>
      <c r="B22" s="14" t="n"/>
      <c r="C22" s="14">
        <f>IF(B22="","",IFERROR(VLOOKUP(B22,Produtos!$A$5:$B$504,2,FALSE),"código não cadastrado"))</f>
        <v/>
      </c>
      <c r="D22" s="14" t="n"/>
      <c r="E22" s="16" t="n"/>
      <c r="F22" s="14" t="n"/>
    </row>
    <row r="23">
      <c r="A23" s="18" t="n"/>
      <c r="B23" s="14" t="n"/>
      <c r="C23" s="14">
        <f>IF(B23="","",IFERROR(VLOOKUP(B23,Produtos!$A$5:$B$504,2,FALSE),"código não cadastrado"))</f>
        <v/>
      </c>
      <c r="D23" s="14" t="n"/>
      <c r="E23" s="16" t="n"/>
      <c r="F23" s="14" t="n"/>
    </row>
    <row r="24">
      <c r="A24" s="18" t="n"/>
      <c r="B24" s="14" t="n"/>
      <c r="C24" s="14">
        <f>IF(B24="","",IFERROR(VLOOKUP(B24,Produtos!$A$5:$B$504,2,FALSE),"código não cadastrado"))</f>
        <v/>
      </c>
      <c r="D24" s="14" t="n"/>
      <c r="E24" s="16" t="n"/>
      <c r="F24" s="14" t="n"/>
    </row>
    <row r="25">
      <c r="A25" s="18" t="n"/>
      <c r="B25" s="14" t="n"/>
      <c r="C25" s="14">
        <f>IF(B25="","",IFERROR(VLOOKUP(B25,Produtos!$A$5:$B$504,2,FALSE),"código não cadastrado"))</f>
        <v/>
      </c>
      <c r="D25" s="14" t="n"/>
      <c r="E25" s="16" t="n"/>
      <c r="F25" s="14" t="n"/>
    </row>
    <row r="26">
      <c r="A26" s="18" t="n"/>
      <c r="B26" s="14" t="n"/>
      <c r="C26" s="14">
        <f>IF(B26="","",IFERROR(VLOOKUP(B26,Produtos!$A$5:$B$504,2,FALSE),"código não cadastrado"))</f>
        <v/>
      </c>
      <c r="D26" s="14" t="n"/>
      <c r="E26" s="16" t="n"/>
      <c r="F26" s="14" t="n"/>
    </row>
    <row r="27">
      <c r="A27" s="18" t="n"/>
      <c r="B27" s="14" t="n"/>
      <c r="C27" s="14">
        <f>IF(B27="","",IFERROR(VLOOKUP(B27,Produtos!$A$5:$B$504,2,FALSE),"código não cadastrado"))</f>
        <v/>
      </c>
      <c r="D27" s="14" t="n"/>
      <c r="E27" s="16" t="n"/>
      <c r="F27" s="14" t="n"/>
    </row>
    <row r="28">
      <c r="A28" s="18" t="n"/>
      <c r="B28" s="14" t="n"/>
      <c r="C28" s="14">
        <f>IF(B28="","",IFERROR(VLOOKUP(B28,Produtos!$A$5:$B$504,2,FALSE),"código não cadastrado"))</f>
        <v/>
      </c>
      <c r="D28" s="14" t="n"/>
      <c r="E28" s="16" t="n"/>
      <c r="F28" s="14" t="n"/>
    </row>
    <row r="29">
      <c r="A29" s="18" t="n"/>
      <c r="B29" s="14" t="n"/>
      <c r="C29" s="14">
        <f>IF(B29="","",IFERROR(VLOOKUP(B29,Produtos!$A$5:$B$504,2,FALSE),"código não cadastrado"))</f>
        <v/>
      </c>
      <c r="D29" s="14" t="n"/>
      <c r="E29" s="16" t="n"/>
      <c r="F29" s="14" t="n"/>
    </row>
    <row r="30">
      <c r="A30" s="18" t="n"/>
      <c r="B30" s="14" t="n"/>
      <c r="C30" s="14">
        <f>IF(B30="","",IFERROR(VLOOKUP(B30,Produtos!$A$5:$B$504,2,FALSE),"código não cadastrado"))</f>
        <v/>
      </c>
      <c r="D30" s="14" t="n"/>
      <c r="E30" s="16" t="n"/>
      <c r="F30" s="14" t="n"/>
    </row>
    <row r="31">
      <c r="A31" s="18" t="n"/>
      <c r="B31" s="14" t="n"/>
      <c r="C31" s="14">
        <f>IF(B31="","",IFERROR(VLOOKUP(B31,Produtos!$A$5:$B$504,2,FALSE),"código não cadastrado"))</f>
        <v/>
      </c>
      <c r="D31" s="14" t="n"/>
      <c r="E31" s="16" t="n"/>
      <c r="F31" s="14" t="n"/>
    </row>
    <row r="32">
      <c r="A32" s="18" t="n"/>
      <c r="B32" s="14" t="n"/>
      <c r="C32" s="14">
        <f>IF(B32="","",IFERROR(VLOOKUP(B32,Produtos!$A$5:$B$504,2,FALSE),"código não cadastrado"))</f>
        <v/>
      </c>
      <c r="D32" s="14" t="n"/>
      <c r="E32" s="16" t="n"/>
      <c r="F32" s="14" t="n"/>
    </row>
    <row r="33">
      <c r="A33" s="18" t="n"/>
      <c r="B33" s="14" t="n"/>
      <c r="C33" s="14">
        <f>IF(B33="","",IFERROR(VLOOKUP(B33,Produtos!$A$5:$B$504,2,FALSE),"código não cadastrado"))</f>
        <v/>
      </c>
      <c r="D33" s="14" t="n"/>
      <c r="E33" s="16" t="n"/>
      <c r="F33" s="14" t="n"/>
    </row>
    <row r="34">
      <c r="A34" s="18" t="n"/>
      <c r="B34" s="14" t="n"/>
      <c r="C34" s="14">
        <f>IF(B34="","",IFERROR(VLOOKUP(B34,Produtos!$A$5:$B$504,2,FALSE),"código não cadastrado"))</f>
        <v/>
      </c>
      <c r="D34" s="14" t="n"/>
      <c r="E34" s="16" t="n"/>
      <c r="F34" s="14" t="n"/>
    </row>
    <row r="35">
      <c r="A35" s="18" t="n"/>
      <c r="B35" s="14" t="n"/>
      <c r="C35" s="14">
        <f>IF(B35="","",IFERROR(VLOOKUP(B35,Produtos!$A$5:$B$504,2,FALSE),"código não cadastrado"))</f>
        <v/>
      </c>
      <c r="D35" s="14" t="n"/>
      <c r="E35" s="16" t="n"/>
      <c r="F35" s="14" t="n"/>
    </row>
    <row r="36">
      <c r="A36" s="18" t="n"/>
      <c r="B36" s="14" t="n"/>
      <c r="C36" s="14">
        <f>IF(B36="","",IFERROR(VLOOKUP(B36,Produtos!$A$5:$B$504,2,FALSE),"código não cadastrado"))</f>
        <v/>
      </c>
      <c r="D36" s="14" t="n"/>
      <c r="E36" s="16" t="n"/>
      <c r="F36" s="14" t="n"/>
    </row>
    <row r="37">
      <c r="A37" s="18" t="n"/>
      <c r="B37" s="14" t="n"/>
      <c r="C37" s="14">
        <f>IF(B37="","",IFERROR(VLOOKUP(B37,Produtos!$A$5:$B$504,2,FALSE),"código não cadastrado"))</f>
        <v/>
      </c>
      <c r="D37" s="14" t="n"/>
      <c r="E37" s="16" t="n"/>
      <c r="F37" s="14" t="n"/>
    </row>
    <row r="38">
      <c r="A38" s="18" t="n"/>
      <c r="B38" s="14" t="n"/>
      <c r="C38" s="14">
        <f>IF(B38="","",IFERROR(VLOOKUP(B38,Produtos!$A$5:$B$504,2,FALSE),"código não cadastrado"))</f>
        <v/>
      </c>
      <c r="D38" s="14" t="n"/>
      <c r="E38" s="16" t="n"/>
      <c r="F38" s="14" t="n"/>
    </row>
    <row r="39">
      <c r="A39" s="18" t="n"/>
      <c r="B39" s="14" t="n"/>
      <c r="C39" s="14">
        <f>IF(B39="","",IFERROR(VLOOKUP(B39,Produtos!$A$5:$B$504,2,FALSE),"código não cadastrado"))</f>
        <v/>
      </c>
      <c r="D39" s="14" t="n"/>
      <c r="E39" s="16" t="n"/>
      <c r="F39" s="14" t="n"/>
    </row>
    <row r="40">
      <c r="A40" s="18" t="n"/>
      <c r="B40" s="14" t="n"/>
      <c r="C40" s="14">
        <f>IF(B40="","",IFERROR(VLOOKUP(B40,Produtos!$A$5:$B$504,2,FALSE),"código não cadastrado"))</f>
        <v/>
      </c>
      <c r="D40" s="14" t="n"/>
      <c r="E40" s="16" t="n"/>
      <c r="F40" s="14" t="n"/>
    </row>
    <row r="41">
      <c r="A41" s="18" t="n"/>
      <c r="B41" s="14" t="n"/>
      <c r="C41" s="14">
        <f>IF(B41="","",IFERROR(VLOOKUP(B41,Produtos!$A$5:$B$504,2,FALSE),"código não cadastrado"))</f>
        <v/>
      </c>
      <c r="D41" s="14" t="n"/>
      <c r="E41" s="16" t="n"/>
      <c r="F41" s="14" t="n"/>
    </row>
    <row r="42">
      <c r="A42" s="18" t="n"/>
      <c r="B42" s="14" t="n"/>
      <c r="C42" s="14">
        <f>IF(B42="","",IFERROR(VLOOKUP(B42,Produtos!$A$5:$B$504,2,FALSE),"código não cadastrado"))</f>
        <v/>
      </c>
      <c r="D42" s="14" t="n"/>
      <c r="E42" s="16" t="n"/>
      <c r="F42" s="14" t="n"/>
    </row>
    <row r="43">
      <c r="A43" s="18" t="n"/>
      <c r="B43" s="14" t="n"/>
      <c r="C43" s="14">
        <f>IF(B43="","",IFERROR(VLOOKUP(B43,Produtos!$A$5:$B$504,2,FALSE),"código não cadastrado"))</f>
        <v/>
      </c>
      <c r="D43" s="14" t="n"/>
      <c r="E43" s="16" t="n"/>
      <c r="F43" s="14" t="n"/>
    </row>
    <row r="44">
      <c r="A44" s="18" t="n"/>
      <c r="B44" s="14" t="n"/>
      <c r="C44" s="14">
        <f>IF(B44="","",IFERROR(VLOOKUP(B44,Produtos!$A$5:$B$504,2,FALSE),"código não cadastrado"))</f>
        <v/>
      </c>
      <c r="D44" s="14" t="n"/>
      <c r="E44" s="16" t="n"/>
      <c r="F44" s="14" t="n"/>
    </row>
    <row r="45">
      <c r="A45" s="18" t="n"/>
      <c r="B45" s="14" t="n"/>
      <c r="C45" s="14">
        <f>IF(B45="","",IFERROR(VLOOKUP(B45,Produtos!$A$5:$B$504,2,FALSE),"código não cadastrado"))</f>
        <v/>
      </c>
      <c r="D45" s="14" t="n"/>
      <c r="E45" s="16" t="n"/>
      <c r="F45" s="14" t="n"/>
    </row>
    <row r="46">
      <c r="A46" s="18" t="n"/>
      <c r="B46" s="14" t="n"/>
      <c r="C46" s="14">
        <f>IF(B46="","",IFERROR(VLOOKUP(B46,Produtos!$A$5:$B$504,2,FALSE),"código não cadastrado"))</f>
        <v/>
      </c>
      <c r="D46" s="14" t="n"/>
      <c r="E46" s="16" t="n"/>
      <c r="F46" s="14" t="n"/>
    </row>
    <row r="47">
      <c r="A47" s="18" t="n"/>
      <c r="B47" s="14" t="n"/>
      <c r="C47" s="14">
        <f>IF(B47="","",IFERROR(VLOOKUP(B47,Produtos!$A$5:$B$504,2,FALSE),"código não cadastrado"))</f>
        <v/>
      </c>
      <c r="D47" s="14" t="n"/>
      <c r="E47" s="16" t="n"/>
      <c r="F47" s="14" t="n"/>
    </row>
    <row r="48">
      <c r="A48" s="18" t="n"/>
      <c r="B48" s="14" t="n"/>
      <c r="C48" s="14">
        <f>IF(B48="","",IFERROR(VLOOKUP(B48,Produtos!$A$5:$B$504,2,FALSE),"código não cadastrado"))</f>
        <v/>
      </c>
      <c r="D48" s="14" t="n"/>
      <c r="E48" s="16" t="n"/>
      <c r="F48" s="14" t="n"/>
    </row>
    <row r="49">
      <c r="A49" s="18" t="n"/>
      <c r="B49" s="14" t="n"/>
      <c r="C49" s="14">
        <f>IF(B49="","",IFERROR(VLOOKUP(B49,Produtos!$A$5:$B$504,2,FALSE),"código não cadastrado"))</f>
        <v/>
      </c>
      <c r="D49" s="14" t="n"/>
      <c r="E49" s="16" t="n"/>
      <c r="F49" s="14" t="n"/>
    </row>
    <row r="50">
      <c r="A50" s="18" t="n"/>
      <c r="B50" s="14" t="n"/>
      <c r="C50" s="14">
        <f>IF(B50="","",IFERROR(VLOOKUP(B50,Produtos!$A$5:$B$504,2,FALSE),"código não cadastrado"))</f>
        <v/>
      </c>
      <c r="D50" s="14" t="n"/>
      <c r="E50" s="16" t="n"/>
      <c r="F50" s="14" t="n"/>
    </row>
    <row r="51">
      <c r="A51" s="18" t="n"/>
      <c r="B51" s="14" t="n"/>
      <c r="C51" s="14">
        <f>IF(B51="","",IFERROR(VLOOKUP(B51,Produtos!$A$5:$B$504,2,FALSE),"código não cadastrado"))</f>
        <v/>
      </c>
      <c r="D51" s="14" t="n"/>
      <c r="E51" s="16" t="n"/>
      <c r="F51" s="14" t="n"/>
    </row>
    <row r="52">
      <c r="A52" s="18" t="n"/>
      <c r="B52" s="14" t="n"/>
      <c r="C52" s="14">
        <f>IF(B52="","",IFERROR(VLOOKUP(B52,Produtos!$A$5:$B$504,2,FALSE),"código não cadastrado"))</f>
        <v/>
      </c>
      <c r="D52" s="14" t="n"/>
      <c r="E52" s="16" t="n"/>
      <c r="F52" s="14" t="n"/>
    </row>
    <row r="53">
      <c r="A53" s="18" t="n"/>
      <c r="B53" s="14" t="n"/>
      <c r="C53" s="14">
        <f>IF(B53="","",IFERROR(VLOOKUP(B53,Produtos!$A$5:$B$504,2,FALSE),"código não cadastrado"))</f>
        <v/>
      </c>
      <c r="D53" s="14" t="n"/>
      <c r="E53" s="16" t="n"/>
      <c r="F53" s="14" t="n"/>
    </row>
    <row r="54">
      <c r="A54" s="18" t="n"/>
      <c r="B54" s="14" t="n"/>
      <c r="C54" s="14">
        <f>IF(B54="","",IFERROR(VLOOKUP(B54,Produtos!$A$5:$B$504,2,FALSE),"código não cadastrado"))</f>
        <v/>
      </c>
      <c r="D54" s="14" t="n"/>
      <c r="E54" s="16" t="n"/>
      <c r="F54" s="14" t="n"/>
    </row>
    <row r="55">
      <c r="A55" s="18" t="n"/>
      <c r="B55" s="14" t="n"/>
      <c r="C55" s="14">
        <f>IF(B55="","",IFERROR(VLOOKUP(B55,Produtos!$A$5:$B$504,2,FALSE),"código não cadastrado"))</f>
        <v/>
      </c>
      <c r="D55" s="14" t="n"/>
      <c r="E55" s="16" t="n"/>
      <c r="F55" s="14" t="n"/>
    </row>
    <row r="56">
      <c r="A56" s="18" t="n"/>
      <c r="B56" s="14" t="n"/>
      <c r="C56" s="14">
        <f>IF(B56="","",IFERROR(VLOOKUP(B56,Produtos!$A$5:$B$504,2,FALSE),"código não cadastrado"))</f>
        <v/>
      </c>
      <c r="D56" s="14" t="n"/>
      <c r="E56" s="16" t="n"/>
      <c r="F56" s="14" t="n"/>
    </row>
    <row r="57">
      <c r="A57" s="18" t="n"/>
      <c r="B57" s="14" t="n"/>
      <c r="C57" s="14">
        <f>IF(B57="","",IFERROR(VLOOKUP(B57,Produtos!$A$5:$B$504,2,FALSE),"código não cadastrado"))</f>
        <v/>
      </c>
      <c r="D57" s="14" t="n"/>
      <c r="E57" s="16" t="n"/>
      <c r="F57" s="14" t="n"/>
    </row>
    <row r="58">
      <c r="A58" s="18" t="n"/>
      <c r="B58" s="14" t="n"/>
      <c r="C58" s="14">
        <f>IF(B58="","",IFERROR(VLOOKUP(B58,Produtos!$A$5:$B$504,2,FALSE),"código não cadastrado"))</f>
        <v/>
      </c>
      <c r="D58" s="14" t="n"/>
      <c r="E58" s="16" t="n"/>
      <c r="F58" s="14" t="n"/>
    </row>
    <row r="59">
      <c r="A59" s="18" t="n"/>
      <c r="B59" s="14" t="n"/>
      <c r="C59" s="14">
        <f>IF(B59="","",IFERROR(VLOOKUP(B59,Produtos!$A$5:$B$504,2,FALSE),"código não cadastrado"))</f>
        <v/>
      </c>
      <c r="D59" s="14" t="n"/>
      <c r="E59" s="16" t="n"/>
      <c r="F59" s="14" t="n"/>
    </row>
    <row r="60">
      <c r="A60" s="18" t="n"/>
      <c r="B60" s="14" t="n"/>
      <c r="C60" s="14">
        <f>IF(B60="","",IFERROR(VLOOKUP(B60,Produtos!$A$5:$B$504,2,FALSE),"código não cadastrado"))</f>
        <v/>
      </c>
      <c r="D60" s="14" t="n"/>
      <c r="E60" s="16" t="n"/>
      <c r="F60" s="14" t="n"/>
    </row>
    <row r="61">
      <c r="A61" s="18" t="n"/>
      <c r="B61" s="14" t="n"/>
      <c r="C61" s="14">
        <f>IF(B61="","",IFERROR(VLOOKUP(B61,Produtos!$A$5:$B$504,2,FALSE),"código não cadastrado"))</f>
        <v/>
      </c>
      <c r="D61" s="14" t="n"/>
      <c r="E61" s="16" t="n"/>
      <c r="F61" s="14" t="n"/>
    </row>
    <row r="62">
      <c r="A62" s="18" t="n"/>
      <c r="B62" s="14" t="n"/>
      <c r="C62" s="14">
        <f>IF(B62="","",IFERROR(VLOOKUP(B62,Produtos!$A$5:$B$504,2,FALSE),"código não cadastrado"))</f>
        <v/>
      </c>
      <c r="D62" s="14" t="n"/>
      <c r="E62" s="16" t="n"/>
      <c r="F62" s="14" t="n"/>
    </row>
    <row r="63">
      <c r="A63" s="18" t="n"/>
      <c r="B63" s="14" t="n"/>
      <c r="C63" s="14">
        <f>IF(B63="","",IFERROR(VLOOKUP(B63,Produtos!$A$5:$B$504,2,FALSE),"código não cadastrado"))</f>
        <v/>
      </c>
      <c r="D63" s="14" t="n"/>
      <c r="E63" s="16" t="n"/>
      <c r="F63" s="14" t="n"/>
    </row>
    <row r="64">
      <c r="A64" s="18" t="n"/>
      <c r="B64" s="14" t="n"/>
      <c r="C64" s="14">
        <f>IF(B64="","",IFERROR(VLOOKUP(B64,Produtos!$A$5:$B$504,2,FALSE),"código não cadastrado"))</f>
        <v/>
      </c>
      <c r="D64" s="14" t="n"/>
      <c r="E64" s="16" t="n"/>
      <c r="F64" s="14" t="n"/>
    </row>
    <row r="65">
      <c r="A65" s="18" t="n"/>
      <c r="B65" s="14" t="n"/>
      <c r="C65" s="14">
        <f>IF(B65="","",IFERROR(VLOOKUP(B65,Produtos!$A$5:$B$504,2,FALSE),"código não cadastrado"))</f>
        <v/>
      </c>
      <c r="D65" s="14" t="n"/>
      <c r="E65" s="16" t="n"/>
      <c r="F65" s="14" t="n"/>
    </row>
    <row r="66">
      <c r="A66" s="18" t="n"/>
      <c r="B66" s="14" t="n"/>
      <c r="C66" s="14">
        <f>IF(B66="","",IFERROR(VLOOKUP(B66,Produtos!$A$5:$B$504,2,FALSE),"código não cadastrado"))</f>
        <v/>
      </c>
      <c r="D66" s="14" t="n"/>
      <c r="E66" s="16" t="n"/>
      <c r="F66" s="14" t="n"/>
    </row>
    <row r="67">
      <c r="A67" s="18" t="n"/>
      <c r="B67" s="14" t="n"/>
      <c r="C67" s="14">
        <f>IF(B67="","",IFERROR(VLOOKUP(B67,Produtos!$A$5:$B$504,2,FALSE),"código não cadastrado"))</f>
        <v/>
      </c>
      <c r="D67" s="14" t="n"/>
      <c r="E67" s="16" t="n"/>
      <c r="F67" s="14" t="n"/>
    </row>
    <row r="68">
      <c r="A68" s="18" t="n"/>
      <c r="B68" s="14" t="n"/>
      <c r="C68" s="14">
        <f>IF(B68="","",IFERROR(VLOOKUP(B68,Produtos!$A$5:$B$504,2,FALSE),"código não cadastrado"))</f>
        <v/>
      </c>
      <c r="D68" s="14" t="n"/>
      <c r="E68" s="16" t="n"/>
      <c r="F68" s="14" t="n"/>
    </row>
    <row r="69">
      <c r="A69" s="18" t="n"/>
      <c r="B69" s="14" t="n"/>
      <c r="C69" s="14">
        <f>IF(B69="","",IFERROR(VLOOKUP(B69,Produtos!$A$5:$B$504,2,FALSE),"código não cadastrado"))</f>
        <v/>
      </c>
      <c r="D69" s="14" t="n"/>
      <c r="E69" s="16" t="n"/>
      <c r="F69" s="14" t="n"/>
    </row>
    <row r="70">
      <c r="A70" s="18" t="n"/>
      <c r="B70" s="14" t="n"/>
      <c r="C70" s="14">
        <f>IF(B70="","",IFERROR(VLOOKUP(B70,Produtos!$A$5:$B$504,2,FALSE),"código não cadastrado"))</f>
        <v/>
      </c>
      <c r="D70" s="14" t="n"/>
      <c r="E70" s="16" t="n"/>
      <c r="F70" s="14" t="n"/>
    </row>
    <row r="71">
      <c r="A71" s="18" t="n"/>
      <c r="B71" s="14" t="n"/>
      <c r="C71" s="14">
        <f>IF(B71="","",IFERROR(VLOOKUP(B71,Produtos!$A$5:$B$504,2,FALSE),"código não cadastrado"))</f>
        <v/>
      </c>
      <c r="D71" s="14" t="n"/>
      <c r="E71" s="16" t="n"/>
      <c r="F71" s="14" t="n"/>
    </row>
    <row r="72">
      <c r="A72" s="18" t="n"/>
      <c r="B72" s="14" t="n"/>
      <c r="C72" s="14">
        <f>IF(B72="","",IFERROR(VLOOKUP(B72,Produtos!$A$5:$B$504,2,FALSE),"código não cadastrado"))</f>
        <v/>
      </c>
      <c r="D72" s="14" t="n"/>
      <c r="E72" s="16" t="n"/>
      <c r="F72" s="14" t="n"/>
    </row>
    <row r="73">
      <c r="A73" s="18" t="n"/>
      <c r="B73" s="14" t="n"/>
      <c r="C73" s="14">
        <f>IF(B73="","",IFERROR(VLOOKUP(B73,Produtos!$A$5:$B$504,2,FALSE),"código não cadastrado"))</f>
        <v/>
      </c>
      <c r="D73" s="14" t="n"/>
      <c r="E73" s="16" t="n"/>
      <c r="F73" s="14" t="n"/>
    </row>
    <row r="74">
      <c r="A74" s="18" t="n"/>
      <c r="B74" s="14" t="n"/>
      <c r="C74" s="14">
        <f>IF(B74="","",IFERROR(VLOOKUP(B74,Produtos!$A$5:$B$504,2,FALSE),"código não cadastrado"))</f>
        <v/>
      </c>
      <c r="D74" s="14" t="n"/>
      <c r="E74" s="16" t="n"/>
      <c r="F74" s="14" t="n"/>
    </row>
    <row r="75">
      <c r="A75" s="18" t="n"/>
      <c r="B75" s="14" t="n"/>
      <c r="C75" s="14">
        <f>IF(B75="","",IFERROR(VLOOKUP(B75,Produtos!$A$5:$B$504,2,FALSE),"código não cadastrado"))</f>
        <v/>
      </c>
      <c r="D75" s="14" t="n"/>
      <c r="E75" s="16" t="n"/>
      <c r="F75" s="14" t="n"/>
    </row>
    <row r="76">
      <c r="A76" s="18" t="n"/>
      <c r="B76" s="14" t="n"/>
      <c r="C76" s="14">
        <f>IF(B76="","",IFERROR(VLOOKUP(B76,Produtos!$A$5:$B$504,2,FALSE),"código não cadastrado"))</f>
        <v/>
      </c>
      <c r="D76" s="14" t="n"/>
      <c r="E76" s="16" t="n"/>
      <c r="F76" s="14" t="n"/>
    </row>
    <row r="77">
      <c r="A77" s="18" t="n"/>
      <c r="B77" s="14" t="n"/>
      <c r="C77" s="14">
        <f>IF(B77="","",IFERROR(VLOOKUP(B77,Produtos!$A$5:$B$504,2,FALSE),"código não cadastrado"))</f>
        <v/>
      </c>
      <c r="D77" s="14" t="n"/>
      <c r="E77" s="16" t="n"/>
      <c r="F77" s="14" t="n"/>
    </row>
    <row r="78">
      <c r="A78" s="18" t="n"/>
      <c r="B78" s="14" t="n"/>
      <c r="C78" s="14">
        <f>IF(B78="","",IFERROR(VLOOKUP(B78,Produtos!$A$5:$B$504,2,FALSE),"código não cadastrado"))</f>
        <v/>
      </c>
      <c r="D78" s="14" t="n"/>
      <c r="E78" s="16" t="n"/>
      <c r="F78" s="14" t="n"/>
    </row>
    <row r="79">
      <c r="A79" s="18" t="n"/>
      <c r="B79" s="14" t="n"/>
      <c r="C79" s="14">
        <f>IF(B79="","",IFERROR(VLOOKUP(B79,Produtos!$A$5:$B$504,2,FALSE),"código não cadastrado"))</f>
        <v/>
      </c>
      <c r="D79" s="14" t="n"/>
      <c r="E79" s="16" t="n"/>
      <c r="F79" s="14" t="n"/>
    </row>
    <row r="80">
      <c r="A80" s="18" t="n"/>
      <c r="B80" s="14" t="n"/>
      <c r="C80" s="14">
        <f>IF(B80="","",IFERROR(VLOOKUP(B80,Produtos!$A$5:$B$504,2,FALSE),"código não cadastrado"))</f>
        <v/>
      </c>
      <c r="D80" s="14" t="n"/>
      <c r="E80" s="16" t="n"/>
      <c r="F80" s="14" t="n"/>
    </row>
    <row r="81">
      <c r="A81" s="18" t="n"/>
      <c r="B81" s="14" t="n"/>
      <c r="C81" s="14">
        <f>IF(B81="","",IFERROR(VLOOKUP(B81,Produtos!$A$5:$B$504,2,FALSE),"código não cadastrado"))</f>
        <v/>
      </c>
      <c r="D81" s="14" t="n"/>
      <c r="E81" s="16" t="n"/>
      <c r="F81" s="14" t="n"/>
    </row>
    <row r="82">
      <c r="A82" s="18" t="n"/>
      <c r="B82" s="14" t="n"/>
      <c r="C82" s="14">
        <f>IF(B82="","",IFERROR(VLOOKUP(B82,Produtos!$A$5:$B$504,2,FALSE),"código não cadastrado"))</f>
        <v/>
      </c>
      <c r="D82" s="14" t="n"/>
      <c r="E82" s="16" t="n"/>
      <c r="F82" s="14" t="n"/>
    </row>
    <row r="83">
      <c r="A83" s="18" t="n"/>
      <c r="B83" s="14" t="n"/>
      <c r="C83" s="14">
        <f>IF(B83="","",IFERROR(VLOOKUP(B83,Produtos!$A$5:$B$504,2,FALSE),"código não cadastrado"))</f>
        <v/>
      </c>
      <c r="D83" s="14" t="n"/>
      <c r="E83" s="16" t="n"/>
      <c r="F83" s="14" t="n"/>
    </row>
    <row r="84">
      <c r="A84" s="18" t="n"/>
      <c r="B84" s="14" t="n"/>
      <c r="C84" s="14">
        <f>IF(B84="","",IFERROR(VLOOKUP(B84,Produtos!$A$5:$B$504,2,FALSE),"código não cadastrado"))</f>
        <v/>
      </c>
      <c r="D84" s="14" t="n"/>
      <c r="E84" s="16" t="n"/>
      <c r="F84" s="14" t="n"/>
    </row>
    <row r="85">
      <c r="A85" s="18" t="n"/>
      <c r="B85" s="14" t="n"/>
      <c r="C85" s="14">
        <f>IF(B85="","",IFERROR(VLOOKUP(B85,Produtos!$A$5:$B$504,2,FALSE),"código não cadastrado"))</f>
        <v/>
      </c>
      <c r="D85" s="14" t="n"/>
      <c r="E85" s="16" t="n"/>
      <c r="F85" s="14" t="n"/>
    </row>
    <row r="86">
      <c r="A86" s="18" t="n"/>
      <c r="B86" s="14" t="n"/>
      <c r="C86" s="14">
        <f>IF(B86="","",IFERROR(VLOOKUP(B86,Produtos!$A$5:$B$504,2,FALSE),"código não cadastrado"))</f>
        <v/>
      </c>
      <c r="D86" s="14" t="n"/>
      <c r="E86" s="16" t="n"/>
      <c r="F86" s="14" t="n"/>
    </row>
    <row r="87">
      <c r="A87" s="18" t="n"/>
      <c r="B87" s="14" t="n"/>
      <c r="C87" s="14">
        <f>IF(B87="","",IFERROR(VLOOKUP(B87,Produtos!$A$5:$B$504,2,FALSE),"código não cadastrado"))</f>
        <v/>
      </c>
      <c r="D87" s="14" t="n"/>
      <c r="E87" s="16" t="n"/>
      <c r="F87" s="14" t="n"/>
    </row>
    <row r="88">
      <c r="A88" s="18" t="n"/>
      <c r="B88" s="14" t="n"/>
      <c r="C88" s="14">
        <f>IF(B88="","",IFERROR(VLOOKUP(B88,Produtos!$A$5:$B$504,2,FALSE),"código não cadastrado"))</f>
        <v/>
      </c>
      <c r="D88" s="14" t="n"/>
      <c r="E88" s="16" t="n"/>
      <c r="F88" s="14" t="n"/>
    </row>
    <row r="89">
      <c r="A89" s="18" t="n"/>
      <c r="B89" s="14" t="n"/>
      <c r="C89" s="14">
        <f>IF(B89="","",IFERROR(VLOOKUP(B89,Produtos!$A$5:$B$504,2,FALSE),"código não cadastrado"))</f>
        <v/>
      </c>
      <c r="D89" s="14" t="n"/>
      <c r="E89" s="16" t="n"/>
      <c r="F89" s="14" t="n"/>
    </row>
    <row r="90">
      <c r="A90" s="18" t="n"/>
      <c r="B90" s="14" t="n"/>
      <c r="C90" s="14">
        <f>IF(B90="","",IFERROR(VLOOKUP(B90,Produtos!$A$5:$B$504,2,FALSE),"código não cadastrado"))</f>
        <v/>
      </c>
      <c r="D90" s="14" t="n"/>
      <c r="E90" s="16" t="n"/>
      <c r="F90" s="14" t="n"/>
    </row>
    <row r="91">
      <c r="A91" s="18" t="n"/>
      <c r="B91" s="14" t="n"/>
      <c r="C91" s="14">
        <f>IF(B91="","",IFERROR(VLOOKUP(B91,Produtos!$A$5:$B$504,2,FALSE),"código não cadastrado"))</f>
        <v/>
      </c>
      <c r="D91" s="14" t="n"/>
      <c r="E91" s="16" t="n"/>
      <c r="F91" s="14" t="n"/>
    </row>
    <row r="92">
      <c r="A92" s="18" t="n"/>
      <c r="B92" s="14" t="n"/>
      <c r="C92" s="14">
        <f>IF(B92="","",IFERROR(VLOOKUP(B92,Produtos!$A$5:$B$504,2,FALSE),"código não cadastrado"))</f>
        <v/>
      </c>
      <c r="D92" s="14" t="n"/>
      <c r="E92" s="16" t="n"/>
      <c r="F92" s="14" t="n"/>
    </row>
    <row r="93">
      <c r="A93" s="18" t="n"/>
      <c r="B93" s="14" t="n"/>
      <c r="C93" s="14">
        <f>IF(B93="","",IFERROR(VLOOKUP(B93,Produtos!$A$5:$B$504,2,FALSE),"código não cadastrado"))</f>
        <v/>
      </c>
      <c r="D93" s="14" t="n"/>
      <c r="E93" s="16" t="n"/>
      <c r="F93" s="14" t="n"/>
    </row>
    <row r="94">
      <c r="A94" s="18" t="n"/>
      <c r="B94" s="14" t="n"/>
      <c r="C94" s="14">
        <f>IF(B94="","",IFERROR(VLOOKUP(B94,Produtos!$A$5:$B$504,2,FALSE),"código não cadastrado"))</f>
        <v/>
      </c>
      <c r="D94" s="14" t="n"/>
      <c r="E94" s="16" t="n"/>
      <c r="F94" s="14" t="n"/>
    </row>
    <row r="95">
      <c r="A95" s="18" t="n"/>
      <c r="B95" s="14" t="n"/>
      <c r="C95" s="14">
        <f>IF(B95="","",IFERROR(VLOOKUP(B95,Produtos!$A$5:$B$504,2,FALSE),"código não cadastrado"))</f>
        <v/>
      </c>
      <c r="D95" s="14" t="n"/>
      <c r="E95" s="16" t="n"/>
      <c r="F95" s="14" t="n"/>
    </row>
    <row r="96">
      <c r="A96" s="18" t="n"/>
      <c r="B96" s="14" t="n"/>
      <c r="C96" s="14">
        <f>IF(B96="","",IFERROR(VLOOKUP(B96,Produtos!$A$5:$B$504,2,FALSE),"código não cadastrado"))</f>
        <v/>
      </c>
      <c r="D96" s="14" t="n"/>
      <c r="E96" s="16" t="n"/>
      <c r="F96" s="14" t="n"/>
    </row>
    <row r="97">
      <c r="A97" s="18" t="n"/>
      <c r="B97" s="14" t="n"/>
      <c r="C97" s="14">
        <f>IF(B97="","",IFERROR(VLOOKUP(B97,Produtos!$A$5:$B$504,2,FALSE),"código não cadastrado"))</f>
        <v/>
      </c>
      <c r="D97" s="14" t="n"/>
      <c r="E97" s="16" t="n"/>
      <c r="F97" s="14" t="n"/>
    </row>
    <row r="98">
      <c r="A98" s="18" t="n"/>
      <c r="B98" s="14" t="n"/>
      <c r="C98" s="14">
        <f>IF(B98="","",IFERROR(VLOOKUP(B98,Produtos!$A$5:$B$504,2,FALSE),"código não cadastrado"))</f>
        <v/>
      </c>
      <c r="D98" s="14" t="n"/>
      <c r="E98" s="16" t="n"/>
      <c r="F98" s="14" t="n"/>
    </row>
    <row r="99">
      <c r="A99" s="18" t="n"/>
      <c r="B99" s="14" t="n"/>
      <c r="C99" s="14">
        <f>IF(B99="","",IFERROR(VLOOKUP(B99,Produtos!$A$5:$B$504,2,FALSE),"código não cadastrado"))</f>
        <v/>
      </c>
      <c r="D99" s="14" t="n"/>
      <c r="E99" s="16" t="n"/>
      <c r="F99" s="14" t="n"/>
    </row>
    <row r="100">
      <c r="A100" s="18" t="n"/>
      <c r="B100" s="14" t="n"/>
      <c r="C100" s="14">
        <f>IF(B100="","",IFERROR(VLOOKUP(B100,Produtos!$A$5:$B$504,2,FALSE),"código não cadastrado"))</f>
        <v/>
      </c>
      <c r="D100" s="14" t="n"/>
      <c r="E100" s="16" t="n"/>
      <c r="F100" s="14" t="n"/>
    </row>
    <row r="101">
      <c r="A101" s="18" t="n"/>
      <c r="B101" s="14" t="n"/>
      <c r="C101" s="14">
        <f>IF(B101="","",IFERROR(VLOOKUP(B101,Produtos!$A$5:$B$504,2,FALSE),"código não cadastrado"))</f>
        <v/>
      </c>
      <c r="D101" s="14" t="n"/>
      <c r="E101" s="16" t="n"/>
      <c r="F101" s="14" t="n"/>
    </row>
    <row r="102">
      <c r="A102" s="18" t="n"/>
      <c r="B102" s="14" t="n"/>
      <c r="C102" s="14">
        <f>IF(B102="","",IFERROR(VLOOKUP(B102,Produtos!$A$5:$B$504,2,FALSE),"código não cadastrado"))</f>
        <v/>
      </c>
      <c r="D102" s="14" t="n"/>
      <c r="E102" s="16" t="n"/>
      <c r="F102" s="14" t="n"/>
    </row>
    <row r="103">
      <c r="A103" s="18" t="n"/>
      <c r="B103" s="14" t="n"/>
      <c r="C103" s="14">
        <f>IF(B103="","",IFERROR(VLOOKUP(B103,Produtos!$A$5:$B$504,2,FALSE),"código não cadastrado"))</f>
        <v/>
      </c>
      <c r="D103" s="14" t="n"/>
      <c r="E103" s="16" t="n"/>
      <c r="F103" s="14" t="n"/>
    </row>
    <row r="104">
      <c r="A104" s="18" t="n"/>
      <c r="B104" s="14" t="n"/>
      <c r="C104" s="14">
        <f>IF(B104="","",IFERROR(VLOOKUP(B104,Produtos!$A$5:$B$504,2,FALSE),"código não cadastrado"))</f>
        <v/>
      </c>
      <c r="D104" s="14" t="n"/>
      <c r="E104" s="16" t="n"/>
      <c r="F104" s="14" t="n"/>
    </row>
    <row r="105">
      <c r="A105" s="18" t="n"/>
      <c r="B105" s="14" t="n"/>
      <c r="C105" s="14">
        <f>IF(B105="","",IFERROR(VLOOKUP(B105,Produtos!$A$5:$B$504,2,FALSE),"código não cadastrado"))</f>
        <v/>
      </c>
      <c r="D105" s="14" t="n"/>
      <c r="E105" s="16" t="n"/>
      <c r="F105" s="14" t="n"/>
    </row>
    <row r="106">
      <c r="A106" s="18" t="n"/>
      <c r="B106" s="14" t="n"/>
      <c r="C106" s="14">
        <f>IF(B106="","",IFERROR(VLOOKUP(B106,Produtos!$A$5:$B$504,2,FALSE),"código não cadastrado"))</f>
        <v/>
      </c>
      <c r="D106" s="14" t="n"/>
      <c r="E106" s="16" t="n"/>
      <c r="F106" s="14" t="n"/>
    </row>
    <row r="107">
      <c r="A107" s="18" t="n"/>
      <c r="B107" s="14" t="n"/>
      <c r="C107" s="14">
        <f>IF(B107="","",IFERROR(VLOOKUP(B107,Produtos!$A$5:$B$504,2,FALSE),"código não cadastrado"))</f>
        <v/>
      </c>
      <c r="D107" s="14" t="n"/>
      <c r="E107" s="16" t="n"/>
      <c r="F107" s="14" t="n"/>
    </row>
    <row r="108">
      <c r="A108" s="18" t="n"/>
      <c r="B108" s="14" t="n"/>
      <c r="C108" s="14">
        <f>IF(B108="","",IFERROR(VLOOKUP(B108,Produtos!$A$5:$B$504,2,FALSE),"código não cadastrado"))</f>
        <v/>
      </c>
      <c r="D108" s="14" t="n"/>
      <c r="E108" s="16" t="n"/>
      <c r="F108" s="14" t="n"/>
    </row>
    <row r="109">
      <c r="A109" s="18" t="n"/>
      <c r="B109" s="14" t="n"/>
      <c r="C109" s="14">
        <f>IF(B109="","",IFERROR(VLOOKUP(B109,Produtos!$A$5:$B$504,2,FALSE),"código não cadastrado"))</f>
        <v/>
      </c>
      <c r="D109" s="14" t="n"/>
      <c r="E109" s="16" t="n"/>
      <c r="F109" s="14" t="n"/>
    </row>
    <row r="110">
      <c r="A110" s="18" t="n"/>
      <c r="B110" s="14" t="n"/>
      <c r="C110" s="14">
        <f>IF(B110="","",IFERROR(VLOOKUP(B110,Produtos!$A$5:$B$504,2,FALSE),"código não cadastrado"))</f>
        <v/>
      </c>
      <c r="D110" s="14" t="n"/>
      <c r="E110" s="16" t="n"/>
      <c r="F110" s="14" t="n"/>
    </row>
    <row r="111">
      <c r="A111" s="18" t="n"/>
      <c r="B111" s="14" t="n"/>
      <c r="C111" s="14">
        <f>IF(B111="","",IFERROR(VLOOKUP(B111,Produtos!$A$5:$B$504,2,FALSE),"código não cadastrado"))</f>
        <v/>
      </c>
      <c r="D111" s="14" t="n"/>
      <c r="E111" s="16" t="n"/>
      <c r="F111" s="14" t="n"/>
    </row>
    <row r="112">
      <c r="A112" s="18" t="n"/>
      <c r="B112" s="14" t="n"/>
      <c r="C112" s="14">
        <f>IF(B112="","",IFERROR(VLOOKUP(B112,Produtos!$A$5:$B$504,2,FALSE),"código não cadastrado"))</f>
        <v/>
      </c>
      <c r="D112" s="14" t="n"/>
      <c r="E112" s="16" t="n"/>
      <c r="F112" s="14" t="n"/>
    </row>
    <row r="113">
      <c r="A113" s="18" t="n"/>
      <c r="B113" s="14" t="n"/>
      <c r="C113" s="14">
        <f>IF(B113="","",IFERROR(VLOOKUP(B113,Produtos!$A$5:$B$504,2,FALSE),"código não cadastrado"))</f>
        <v/>
      </c>
      <c r="D113" s="14" t="n"/>
      <c r="E113" s="16" t="n"/>
      <c r="F113" s="14" t="n"/>
    </row>
    <row r="114">
      <c r="A114" s="18" t="n"/>
      <c r="B114" s="14" t="n"/>
      <c r="C114" s="14">
        <f>IF(B114="","",IFERROR(VLOOKUP(B114,Produtos!$A$5:$B$504,2,FALSE),"código não cadastrado"))</f>
        <v/>
      </c>
      <c r="D114" s="14" t="n"/>
      <c r="E114" s="16" t="n"/>
      <c r="F114" s="14" t="n"/>
    </row>
    <row r="115">
      <c r="A115" s="18" t="n"/>
      <c r="B115" s="14" t="n"/>
      <c r="C115" s="14">
        <f>IF(B115="","",IFERROR(VLOOKUP(B115,Produtos!$A$5:$B$504,2,FALSE),"código não cadastrado"))</f>
        <v/>
      </c>
      <c r="D115" s="14" t="n"/>
      <c r="E115" s="16" t="n"/>
      <c r="F115" s="14" t="n"/>
    </row>
    <row r="116">
      <c r="A116" s="18" t="n"/>
      <c r="B116" s="14" t="n"/>
      <c r="C116" s="14">
        <f>IF(B116="","",IFERROR(VLOOKUP(B116,Produtos!$A$5:$B$504,2,FALSE),"código não cadastrado"))</f>
        <v/>
      </c>
      <c r="D116" s="14" t="n"/>
      <c r="E116" s="16" t="n"/>
      <c r="F116" s="14" t="n"/>
    </row>
    <row r="117">
      <c r="A117" s="18" t="n"/>
      <c r="B117" s="14" t="n"/>
      <c r="C117" s="14">
        <f>IF(B117="","",IFERROR(VLOOKUP(B117,Produtos!$A$5:$B$504,2,FALSE),"código não cadastrado"))</f>
        <v/>
      </c>
      <c r="D117" s="14" t="n"/>
      <c r="E117" s="16" t="n"/>
      <c r="F117" s="14" t="n"/>
    </row>
    <row r="118">
      <c r="A118" s="18" t="n"/>
      <c r="B118" s="14" t="n"/>
      <c r="C118" s="14">
        <f>IF(B118="","",IFERROR(VLOOKUP(B118,Produtos!$A$5:$B$504,2,FALSE),"código não cadastrado"))</f>
        <v/>
      </c>
      <c r="D118" s="14" t="n"/>
      <c r="E118" s="16" t="n"/>
      <c r="F118" s="14" t="n"/>
    </row>
    <row r="119">
      <c r="A119" s="18" t="n"/>
      <c r="B119" s="14" t="n"/>
      <c r="C119" s="14">
        <f>IF(B119="","",IFERROR(VLOOKUP(B119,Produtos!$A$5:$B$504,2,FALSE),"código não cadastrado"))</f>
        <v/>
      </c>
      <c r="D119" s="14" t="n"/>
      <c r="E119" s="16" t="n"/>
      <c r="F119" s="14" t="n"/>
    </row>
    <row r="120">
      <c r="A120" s="18" t="n"/>
      <c r="B120" s="14" t="n"/>
      <c r="C120" s="14">
        <f>IF(B120="","",IFERROR(VLOOKUP(B120,Produtos!$A$5:$B$504,2,FALSE),"código não cadastrado"))</f>
        <v/>
      </c>
      <c r="D120" s="14" t="n"/>
      <c r="E120" s="16" t="n"/>
      <c r="F120" s="14" t="n"/>
    </row>
    <row r="121">
      <c r="A121" s="18" t="n"/>
      <c r="B121" s="14" t="n"/>
      <c r="C121" s="14">
        <f>IF(B121="","",IFERROR(VLOOKUP(B121,Produtos!$A$5:$B$504,2,FALSE),"código não cadastrado"))</f>
        <v/>
      </c>
      <c r="D121" s="14" t="n"/>
      <c r="E121" s="16" t="n"/>
      <c r="F121" s="14" t="n"/>
    </row>
    <row r="122">
      <c r="A122" s="18" t="n"/>
      <c r="B122" s="14" t="n"/>
      <c r="C122" s="14">
        <f>IF(B122="","",IFERROR(VLOOKUP(B122,Produtos!$A$5:$B$504,2,FALSE),"código não cadastrado"))</f>
        <v/>
      </c>
      <c r="D122" s="14" t="n"/>
      <c r="E122" s="16" t="n"/>
      <c r="F122" s="14" t="n"/>
    </row>
    <row r="123">
      <c r="A123" s="18" t="n"/>
      <c r="B123" s="14" t="n"/>
      <c r="C123" s="14">
        <f>IF(B123="","",IFERROR(VLOOKUP(B123,Produtos!$A$5:$B$504,2,FALSE),"código não cadastrado"))</f>
        <v/>
      </c>
      <c r="D123" s="14" t="n"/>
      <c r="E123" s="16" t="n"/>
      <c r="F123" s="14" t="n"/>
    </row>
    <row r="124">
      <c r="A124" s="18" t="n"/>
      <c r="B124" s="14" t="n"/>
      <c r="C124" s="14">
        <f>IF(B124="","",IFERROR(VLOOKUP(B124,Produtos!$A$5:$B$504,2,FALSE),"código não cadastrado"))</f>
        <v/>
      </c>
      <c r="D124" s="14" t="n"/>
      <c r="E124" s="16" t="n"/>
      <c r="F124" s="14" t="n"/>
    </row>
    <row r="125">
      <c r="A125" s="18" t="n"/>
      <c r="B125" s="14" t="n"/>
      <c r="C125" s="14">
        <f>IF(B125="","",IFERROR(VLOOKUP(B125,Produtos!$A$5:$B$504,2,FALSE),"código não cadastrado"))</f>
        <v/>
      </c>
      <c r="D125" s="14" t="n"/>
      <c r="E125" s="16" t="n"/>
      <c r="F125" s="14" t="n"/>
    </row>
    <row r="126">
      <c r="A126" s="18" t="n"/>
      <c r="B126" s="14" t="n"/>
      <c r="C126" s="14">
        <f>IF(B126="","",IFERROR(VLOOKUP(B126,Produtos!$A$5:$B$504,2,FALSE),"código não cadastrado"))</f>
        <v/>
      </c>
      <c r="D126" s="14" t="n"/>
      <c r="E126" s="16" t="n"/>
      <c r="F126" s="14" t="n"/>
    </row>
    <row r="127">
      <c r="A127" s="18" t="n"/>
      <c r="B127" s="14" t="n"/>
      <c r="C127" s="14">
        <f>IF(B127="","",IFERROR(VLOOKUP(B127,Produtos!$A$5:$B$504,2,FALSE),"código não cadastrado"))</f>
        <v/>
      </c>
      <c r="D127" s="14" t="n"/>
      <c r="E127" s="16" t="n"/>
      <c r="F127" s="14" t="n"/>
    </row>
    <row r="128">
      <c r="A128" s="18" t="n"/>
      <c r="B128" s="14" t="n"/>
      <c r="C128" s="14">
        <f>IF(B128="","",IFERROR(VLOOKUP(B128,Produtos!$A$5:$B$504,2,FALSE),"código não cadastrado"))</f>
        <v/>
      </c>
      <c r="D128" s="14" t="n"/>
      <c r="E128" s="16" t="n"/>
      <c r="F128" s="14" t="n"/>
    </row>
    <row r="129">
      <c r="A129" s="18" t="n"/>
      <c r="B129" s="14" t="n"/>
      <c r="C129" s="14">
        <f>IF(B129="","",IFERROR(VLOOKUP(B129,Produtos!$A$5:$B$504,2,FALSE),"código não cadastrado"))</f>
        <v/>
      </c>
      <c r="D129" s="14" t="n"/>
      <c r="E129" s="16" t="n"/>
      <c r="F129" s="14" t="n"/>
    </row>
    <row r="130">
      <c r="A130" s="18" t="n"/>
      <c r="B130" s="14" t="n"/>
      <c r="C130" s="14">
        <f>IF(B130="","",IFERROR(VLOOKUP(B130,Produtos!$A$5:$B$504,2,FALSE),"código não cadastrado"))</f>
        <v/>
      </c>
      <c r="D130" s="14" t="n"/>
      <c r="E130" s="16" t="n"/>
      <c r="F130" s="14" t="n"/>
    </row>
    <row r="131">
      <c r="A131" s="18" t="n"/>
      <c r="B131" s="14" t="n"/>
      <c r="C131" s="14">
        <f>IF(B131="","",IFERROR(VLOOKUP(B131,Produtos!$A$5:$B$504,2,FALSE),"código não cadastrado"))</f>
        <v/>
      </c>
      <c r="D131" s="14" t="n"/>
      <c r="E131" s="16" t="n"/>
      <c r="F131" s="14" t="n"/>
    </row>
    <row r="132">
      <c r="A132" s="18" t="n"/>
      <c r="B132" s="14" t="n"/>
      <c r="C132" s="14">
        <f>IF(B132="","",IFERROR(VLOOKUP(B132,Produtos!$A$5:$B$504,2,FALSE),"código não cadastrado"))</f>
        <v/>
      </c>
      <c r="D132" s="14" t="n"/>
      <c r="E132" s="16" t="n"/>
      <c r="F132" s="14" t="n"/>
    </row>
    <row r="133">
      <c r="A133" s="18" t="n"/>
      <c r="B133" s="14" t="n"/>
      <c r="C133" s="14">
        <f>IF(B133="","",IFERROR(VLOOKUP(B133,Produtos!$A$5:$B$504,2,FALSE),"código não cadastrado"))</f>
        <v/>
      </c>
      <c r="D133" s="14" t="n"/>
      <c r="E133" s="16" t="n"/>
      <c r="F133" s="14" t="n"/>
    </row>
    <row r="134">
      <c r="A134" s="18" t="n"/>
      <c r="B134" s="14" t="n"/>
      <c r="C134" s="14">
        <f>IF(B134="","",IFERROR(VLOOKUP(B134,Produtos!$A$5:$B$504,2,FALSE),"código não cadastrado"))</f>
        <v/>
      </c>
      <c r="D134" s="14" t="n"/>
      <c r="E134" s="16" t="n"/>
      <c r="F134" s="14" t="n"/>
    </row>
    <row r="135">
      <c r="A135" s="18" t="n"/>
      <c r="B135" s="14" t="n"/>
      <c r="C135" s="14">
        <f>IF(B135="","",IFERROR(VLOOKUP(B135,Produtos!$A$5:$B$504,2,FALSE),"código não cadastrado"))</f>
        <v/>
      </c>
      <c r="D135" s="14" t="n"/>
      <c r="E135" s="16" t="n"/>
      <c r="F135" s="14" t="n"/>
    </row>
    <row r="136">
      <c r="A136" s="18" t="n"/>
      <c r="B136" s="14" t="n"/>
      <c r="C136" s="14">
        <f>IF(B136="","",IFERROR(VLOOKUP(B136,Produtos!$A$5:$B$504,2,FALSE),"código não cadastrado"))</f>
        <v/>
      </c>
      <c r="D136" s="14" t="n"/>
      <c r="E136" s="16" t="n"/>
      <c r="F136" s="14" t="n"/>
    </row>
    <row r="137">
      <c r="A137" s="18" t="n"/>
      <c r="B137" s="14" t="n"/>
      <c r="C137" s="14">
        <f>IF(B137="","",IFERROR(VLOOKUP(B137,Produtos!$A$5:$B$504,2,FALSE),"código não cadastrado"))</f>
        <v/>
      </c>
      <c r="D137" s="14" t="n"/>
      <c r="E137" s="16" t="n"/>
      <c r="F137" s="14" t="n"/>
    </row>
    <row r="138">
      <c r="A138" s="18" t="n"/>
      <c r="B138" s="14" t="n"/>
      <c r="C138" s="14">
        <f>IF(B138="","",IFERROR(VLOOKUP(B138,Produtos!$A$5:$B$504,2,FALSE),"código não cadastrado"))</f>
        <v/>
      </c>
      <c r="D138" s="14" t="n"/>
      <c r="E138" s="16" t="n"/>
      <c r="F138" s="14" t="n"/>
    </row>
    <row r="139">
      <c r="A139" s="18" t="n"/>
      <c r="B139" s="14" t="n"/>
      <c r="C139" s="14">
        <f>IF(B139="","",IFERROR(VLOOKUP(B139,Produtos!$A$5:$B$504,2,FALSE),"código não cadastrado"))</f>
        <v/>
      </c>
      <c r="D139" s="14" t="n"/>
      <c r="E139" s="16" t="n"/>
      <c r="F139" s="14" t="n"/>
    </row>
    <row r="140">
      <c r="A140" s="18" t="n"/>
      <c r="B140" s="14" t="n"/>
      <c r="C140" s="14">
        <f>IF(B140="","",IFERROR(VLOOKUP(B140,Produtos!$A$5:$B$504,2,FALSE),"código não cadastrado"))</f>
        <v/>
      </c>
      <c r="D140" s="14" t="n"/>
      <c r="E140" s="16" t="n"/>
      <c r="F140" s="14" t="n"/>
    </row>
    <row r="141">
      <c r="A141" s="18" t="n"/>
      <c r="B141" s="14" t="n"/>
      <c r="C141" s="14">
        <f>IF(B141="","",IFERROR(VLOOKUP(B141,Produtos!$A$5:$B$504,2,FALSE),"código não cadastrado"))</f>
        <v/>
      </c>
      <c r="D141" s="14" t="n"/>
      <c r="E141" s="16" t="n"/>
      <c r="F141" s="14" t="n"/>
    </row>
    <row r="142">
      <c r="A142" s="18" t="n"/>
      <c r="B142" s="14" t="n"/>
      <c r="C142" s="14">
        <f>IF(B142="","",IFERROR(VLOOKUP(B142,Produtos!$A$5:$B$504,2,FALSE),"código não cadastrado"))</f>
        <v/>
      </c>
      <c r="D142" s="14" t="n"/>
      <c r="E142" s="16" t="n"/>
      <c r="F142" s="14" t="n"/>
    </row>
    <row r="143">
      <c r="A143" s="18" t="n"/>
      <c r="B143" s="14" t="n"/>
      <c r="C143" s="14">
        <f>IF(B143="","",IFERROR(VLOOKUP(B143,Produtos!$A$5:$B$504,2,FALSE),"código não cadastrado"))</f>
        <v/>
      </c>
      <c r="D143" s="14" t="n"/>
      <c r="E143" s="16" t="n"/>
      <c r="F143" s="14" t="n"/>
    </row>
    <row r="144">
      <c r="A144" s="18" t="n"/>
      <c r="B144" s="14" t="n"/>
      <c r="C144" s="14">
        <f>IF(B144="","",IFERROR(VLOOKUP(B144,Produtos!$A$5:$B$504,2,FALSE),"código não cadastrado"))</f>
        <v/>
      </c>
      <c r="D144" s="14" t="n"/>
      <c r="E144" s="16" t="n"/>
      <c r="F144" s="14" t="n"/>
    </row>
    <row r="145">
      <c r="A145" s="18" t="n"/>
      <c r="B145" s="14" t="n"/>
      <c r="C145" s="14">
        <f>IF(B145="","",IFERROR(VLOOKUP(B145,Produtos!$A$5:$B$504,2,FALSE),"código não cadastrado"))</f>
        <v/>
      </c>
      <c r="D145" s="14" t="n"/>
      <c r="E145" s="16" t="n"/>
      <c r="F145" s="14" t="n"/>
    </row>
    <row r="146">
      <c r="A146" s="18" t="n"/>
      <c r="B146" s="14" t="n"/>
      <c r="C146" s="14">
        <f>IF(B146="","",IFERROR(VLOOKUP(B146,Produtos!$A$5:$B$504,2,FALSE),"código não cadastrado"))</f>
        <v/>
      </c>
      <c r="D146" s="14" t="n"/>
      <c r="E146" s="16" t="n"/>
      <c r="F146" s="14" t="n"/>
    </row>
    <row r="147">
      <c r="A147" s="18" t="n"/>
      <c r="B147" s="14" t="n"/>
      <c r="C147" s="14">
        <f>IF(B147="","",IFERROR(VLOOKUP(B147,Produtos!$A$5:$B$504,2,FALSE),"código não cadastrado"))</f>
        <v/>
      </c>
      <c r="D147" s="14" t="n"/>
      <c r="E147" s="16" t="n"/>
      <c r="F147" s="14" t="n"/>
    </row>
    <row r="148">
      <c r="A148" s="18" t="n"/>
      <c r="B148" s="14" t="n"/>
      <c r="C148" s="14">
        <f>IF(B148="","",IFERROR(VLOOKUP(B148,Produtos!$A$5:$B$504,2,FALSE),"código não cadastrado"))</f>
        <v/>
      </c>
      <c r="D148" s="14" t="n"/>
      <c r="E148" s="16" t="n"/>
      <c r="F148" s="14" t="n"/>
    </row>
    <row r="149">
      <c r="A149" s="18" t="n"/>
      <c r="B149" s="14" t="n"/>
      <c r="C149" s="14">
        <f>IF(B149="","",IFERROR(VLOOKUP(B149,Produtos!$A$5:$B$504,2,FALSE),"código não cadastrado"))</f>
        <v/>
      </c>
      <c r="D149" s="14" t="n"/>
      <c r="E149" s="16" t="n"/>
      <c r="F149" s="14" t="n"/>
    </row>
    <row r="150">
      <c r="A150" s="18" t="n"/>
      <c r="B150" s="14" t="n"/>
      <c r="C150" s="14">
        <f>IF(B150="","",IFERROR(VLOOKUP(B150,Produtos!$A$5:$B$504,2,FALSE),"código não cadastrado"))</f>
        <v/>
      </c>
      <c r="D150" s="14" t="n"/>
      <c r="E150" s="16" t="n"/>
      <c r="F150" s="14" t="n"/>
    </row>
    <row r="151">
      <c r="A151" s="18" t="n"/>
      <c r="B151" s="14" t="n"/>
      <c r="C151" s="14">
        <f>IF(B151="","",IFERROR(VLOOKUP(B151,Produtos!$A$5:$B$504,2,FALSE),"código não cadastrado"))</f>
        <v/>
      </c>
      <c r="D151" s="14" t="n"/>
      <c r="E151" s="16" t="n"/>
      <c r="F151" s="14" t="n"/>
    </row>
    <row r="152">
      <c r="A152" s="18" t="n"/>
      <c r="B152" s="14" t="n"/>
      <c r="C152" s="14">
        <f>IF(B152="","",IFERROR(VLOOKUP(B152,Produtos!$A$5:$B$504,2,FALSE),"código não cadastrado"))</f>
        <v/>
      </c>
      <c r="D152" s="14" t="n"/>
      <c r="E152" s="16" t="n"/>
      <c r="F152" s="14" t="n"/>
    </row>
    <row r="153">
      <c r="A153" s="18" t="n"/>
      <c r="B153" s="14" t="n"/>
      <c r="C153" s="14">
        <f>IF(B153="","",IFERROR(VLOOKUP(B153,Produtos!$A$5:$B$504,2,FALSE),"código não cadastrado"))</f>
        <v/>
      </c>
      <c r="D153" s="14" t="n"/>
      <c r="E153" s="16" t="n"/>
      <c r="F153" s="14" t="n"/>
    </row>
    <row r="154">
      <c r="A154" s="18" t="n"/>
      <c r="B154" s="14" t="n"/>
      <c r="C154" s="14">
        <f>IF(B154="","",IFERROR(VLOOKUP(B154,Produtos!$A$5:$B$504,2,FALSE),"código não cadastrado"))</f>
        <v/>
      </c>
      <c r="D154" s="14" t="n"/>
      <c r="E154" s="16" t="n"/>
      <c r="F154" s="14" t="n"/>
    </row>
    <row r="155">
      <c r="A155" s="18" t="n"/>
      <c r="B155" s="14" t="n"/>
      <c r="C155" s="14">
        <f>IF(B155="","",IFERROR(VLOOKUP(B155,Produtos!$A$5:$B$504,2,FALSE),"código não cadastrado"))</f>
        <v/>
      </c>
      <c r="D155" s="14" t="n"/>
      <c r="E155" s="16" t="n"/>
      <c r="F155" s="14" t="n"/>
    </row>
    <row r="156">
      <c r="A156" s="18" t="n"/>
      <c r="B156" s="14" t="n"/>
      <c r="C156" s="14">
        <f>IF(B156="","",IFERROR(VLOOKUP(B156,Produtos!$A$5:$B$504,2,FALSE),"código não cadastrado"))</f>
        <v/>
      </c>
      <c r="D156" s="14" t="n"/>
      <c r="E156" s="16" t="n"/>
      <c r="F156" s="14" t="n"/>
    </row>
    <row r="157">
      <c r="A157" s="18" t="n"/>
      <c r="B157" s="14" t="n"/>
      <c r="C157" s="14">
        <f>IF(B157="","",IFERROR(VLOOKUP(B157,Produtos!$A$5:$B$504,2,FALSE),"código não cadastrado"))</f>
        <v/>
      </c>
      <c r="D157" s="14" t="n"/>
      <c r="E157" s="16" t="n"/>
      <c r="F157" s="14" t="n"/>
    </row>
    <row r="158">
      <c r="A158" s="18" t="n"/>
      <c r="B158" s="14" t="n"/>
      <c r="C158" s="14">
        <f>IF(B158="","",IFERROR(VLOOKUP(B158,Produtos!$A$5:$B$504,2,FALSE),"código não cadastrado"))</f>
        <v/>
      </c>
      <c r="D158" s="14" t="n"/>
      <c r="E158" s="16" t="n"/>
      <c r="F158" s="14" t="n"/>
    </row>
    <row r="159">
      <c r="A159" s="18" t="n"/>
      <c r="B159" s="14" t="n"/>
      <c r="C159" s="14">
        <f>IF(B159="","",IFERROR(VLOOKUP(B159,Produtos!$A$5:$B$504,2,FALSE),"código não cadastrado"))</f>
        <v/>
      </c>
      <c r="D159" s="14" t="n"/>
      <c r="E159" s="16" t="n"/>
      <c r="F159" s="14" t="n"/>
    </row>
    <row r="160">
      <c r="A160" s="18" t="n"/>
      <c r="B160" s="14" t="n"/>
      <c r="C160" s="14">
        <f>IF(B160="","",IFERROR(VLOOKUP(B160,Produtos!$A$5:$B$504,2,FALSE),"código não cadastrado"))</f>
        <v/>
      </c>
      <c r="D160" s="14" t="n"/>
      <c r="E160" s="16" t="n"/>
      <c r="F160" s="14" t="n"/>
    </row>
    <row r="161">
      <c r="A161" s="18" t="n"/>
      <c r="B161" s="14" t="n"/>
      <c r="C161" s="14">
        <f>IF(B161="","",IFERROR(VLOOKUP(B161,Produtos!$A$5:$B$504,2,FALSE),"código não cadastrado"))</f>
        <v/>
      </c>
      <c r="D161" s="14" t="n"/>
      <c r="E161" s="16" t="n"/>
      <c r="F161" s="14" t="n"/>
    </row>
    <row r="162">
      <c r="A162" s="18" t="n"/>
      <c r="B162" s="14" t="n"/>
      <c r="C162" s="14">
        <f>IF(B162="","",IFERROR(VLOOKUP(B162,Produtos!$A$5:$B$504,2,FALSE),"código não cadastrado"))</f>
        <v/>
      </c>
      <c r="D162" s="14" t="n"/>
      <c r="E162" s="16" t="n"/>
      <c r="F162" s="14" t="n"/>
    </row>
    <row r="163">
      <c r="A163" s="18" t="n"/>
      <c r="B163" s="14" t="n"/>
      <c r="C163" s="14">
        <f>IF(B163="","",IFERROR(VLOOKUP(B163,Produtos!$A$5:$B$504,2,FALSE),"código não cadastrado"))</f>
        <v/>
      </c>
      <c r="D163" s="14" t="n"/>
      <c r="E163" s="16" t="n"/>
      <c r="F163" s="14" t="n"/>
    </row>
    <row r="164">
      <c r="A164" s="18" t="n"/>
      <c r="B164" s="14" t="n"/>
      <c r="C164" s="14">
        <f>IF(B164="","",IFERROR(VLOOKUP(B164,Produtos!$A$5:$B$504,2,FALSE),"código não cadastrado"))</f>
        <v/>
      </c>
      <c r="D164" s="14" t="n"/>
      <c r="E164" s="16" t="n"/>
      <c r="F164" s="14" t="n"/>
    </row>
    <row r="165">
      <c r="A165" s="18" t="n"/>
      <c r="B165" s="14" t="n"/>
      <c r="C165" s="14">
        <f>IF(B165="","",IFERROR(VLOOKUP(B165,Produtos!$A$5:$B$504,2,FALSE),"código não cadastrado"))</f>
        <v/>
      </c>
      <c r="D165" s="14" t="n"/>
      <c r="E165" s="16" t="n"/>
      <c r="F165" s="14" t="n"/>
    </row>
    <row r="166">
      <c r="A166" s="18" t="n"/>
      <c r="B166" s="14" t="n"/>
      <c r="C166" s="14">
        <f>IF(B166="","",IFERROR(VLOOKUP(B166,Produtos!$A$5:$B$504,2,FALSE),"código não cadastrado"))</f>
        <v/>
      </c>
      <c r="D166" s="14" t="n"/>
      <c r="E166" s="16" t="n"/>
      <c r="F166" s="14" t="n"/>
    </row>
    <row r="167">
      <c r="A167" s="18" t="n"/>
      <c r="B167" s="14" t="n"/>
      <c r="C167" s="14">
        <f>IF(B167="","",IFERROR(VLOOKUP(B167,Produtos!$A$5:$B$504,2,FALSE),"código não cadastrado"))</f>
        <v/>
      </c>
      <c r="D167" s="14" t="n"/>
      <c r="E167" s="16" t="n"/>
      <c r="F167" s="14" t="n"/>
    </row>
    <row r="168">
      <c r="A168" s="18" t="n"/>
      <c r="B168" s="14" t="n"/>
      <c r="C168" s="14">
        <f>IF(B168="","",IFERROR(VLOOKUP(B168,Produtos!$A$5:$B$504,2,FALSE),"código não cadastrado"))</f>
        <v/>
      </c>
      <c r="D168" s="14" t="n"/>
      <c r="E168" s="16" t="n"/>
      <c r="F168" s="14" t="n"/>
    </row>
    <row r="169">
      <c r="A169" s="18" t="n"/>
      <c r="B169" s="14" t="n"/>
      <c r="C169" s="14">
        <f>IF(B169="","",IFERROR(VLOOKUP(B169,Produtos!$A$5:$B$504,2,FALSE),"código não cadastrado"))</f>
        <v/>
      </c>
      <c r="D169" s="14" t="n"/>
      <c r="E169" s="16" t="n"/>
      <c r="F169" s="14" t="n"/>
    </row>
    <row r="170">
      <c r="A170" s="18" t="n"/>
      <c r="B170" s="14" t="n"/>
      <c r="C170" s="14">
        <f>IF(B170="","",IFERROR(VLOOKUP(B170,Produtos!$A$5:$B$504,2,FALSE),"código não cadastrado"))</f>
        <v/>
      </c>
      <c r="D170" s="14" t="n"/>
      <c r="E170" s="16" t="n"/>
      <c r="F170" s="14" t="n"/>
    </row>
    <row r="171">
      <c r="A171" s="18" t="n"/>
      <c r="B171" s="14" t="n"/>
      <c r="C171" s="14">
        <f>IF(B171="","",IFERROR(VLOOKUP(B171,Produtos!$A$5:$B$504,2,FALSE),"código não cadastrado"))</f>
        <v/>
      </c>
      <c r="D171" s="14" t="n"/>
      <c r="E171" s="16" t="n"/>
      <c r="F171" s="14" t="n"/>
    </row>
    <row r="172">
      <c r="A172" s="18" t="n"/>
      <c r="B172" s="14" t="n"/>
      <c r="C172" s="14">
        <f>IF(B172="","",IFERROR(VLOOKUP(B172,Produtos!$A$5:$B$504,2,FALSE),"código não cadastrado"))</f>
        <v/>
      </c>
      <c r="D172" s="14" t="n"/>
      <c r="E172" s="16" t="n"/>
      <c r="F172" s="14" t="n"/>
    </row>
    <row r="173">
      <c r="A173" s="18" t="n"/>
      <c r="B173" s="14" t="n"/>
      <c r="C173" s="14">
        <f>IF(B173="","",IFERROR(VLOOKUP(B173,Produtos!$A$5:$B$504,2,FALSE),"código não cadastrado"))</f>
        <v/>
      </c>
      <c r="D173" s="14" t="n"/>
      <c r="E173" s="16" t="n"/>
      <c r="F173" s="14" t="n"/>
    </row>
    <row r="174">
      <c r="A174" s="18" t="n"/>
      <c r="B174" s="14" t="n"/>
      <c r="C174" s="14">
        <f>IF(B174="","",IFERROR(VLOOKUP(B174,Produtos!$A$5:$B$504,2,FALSE),"código não cadastrado"))</f>
        <v/>
      </c>
      <c r="D174" s="14" t="n"/>
      <c r="E174" s="16" t="n"/>
      <c r="F174" s="14" t="n"/>
    </row>
    <row r="175">
      <c r="A175" s="18" t="n"/>
      <c r="B175" s="14" t="n"/>
      <c r="C175" s="14">
        <f>IF(B175="","",IFERROR(VLOOKUP(B175,Produtos!$A$5:$B$504,2,FALSE),"código não cadastrado"))</f>
        <v/>
      </c>
      <c r="D175" s="14" t="n"/>
      <c r="E175" s="16" t="n"/>
      <c r="F175" s="14" t="n"/>
    </row>
    <row r="176">
      <c r="A176" s="18" t="n"/>
      <c r="B176" s="14" t="n"/>
      <c r="C176" s="14">
        <f>IF(B176="","",IFERROR(VLOOKUP(B176,Produtos!$A$5:$B$504,2,FALSE),"código não cadastrado"))</f>
        <v/>
      </c>
      <c r="D176" s="14" t="n"/>
      <c r="E176" s="16" t="n"/>
      <c r="F176" s="14" t="n"/>
    </row>
    <row r="177">
      <c r="A177" s="18" t="n"/>
      <c r="B177" s="14" t="n"/>
      <c r="C177" s="14">
        <f>IF(B177="","",IFERROR(VLOOKUP(B177,Produtos!$A$5:$B$504,2,FALSE),"código não cadastrado"))</f>
        <v/>
      </c>
      <c r="D177" s="14" t="n"/>
      <c r="E177" s="16" t="n"/>
      <c r="F177" s="14" t="n"/>
    </row>
    <row r="178">
      <c r="A178" s="18" t="n"/>
      <c r="B178" s="14" t="n"/>
      <c r="C178" s="14">
        <f>IF(B178="","",IFERROR(VLOOKUP(B178,Produtos!$A$5:$B$504,2,FALSE),"código não cadastrado"))</f>
        <v/>
      </c>
      <c r="D178" s="14" t="n"/>
      <c r="E178" s="16" t="n"/>
      <c r="F178" s="14" t="n"/>
    </row>
    <row r="179">
      <c r="A179" s="18" t="n"/>
      <c r="B179" s="14" t="n"/>
      <c r="C179" s="14">
        <f>IF(B179="","",IFERROR(VLOOKUP(B179,Produtos!$A$5:$B$504,2,FALSE),"código não cadastrado"))</f>
        <v/>
      </c>
      <c r="D179" s="14" t="n"/>
      <c r="E179" s="16" t="n"/>
      <c r="F179" s="14" t="n"/>
    </row>
    <row r="180">
      <c r="A180" s="18" t="n"/>
      <c r="B180" s="14" t="n"/>
      <c r="C180" s="14">
        <f>IF(B180="","",IFERROR(VLOOKUP(B180,Produtos!$A$5:$B$504,2,FALSE),"código não cadastrado"))</f>
        <v/>
      </c>
      <c r="D180" s="14" t="n"/>
      <c r="E180" s="16" t="n"/>
      <c r="F180" s="14" t="n"/>
    </row>
    <row r="181">
      <c r="A181" s="18" t="n"/>
      <c r="B181" s="14" t="n"/>
      <c r="C181" s="14">
        <f>IF(B181="","",IFERROR(VLOOKUP(B181,Produtos!$A$5:$B$504,2,FALSE),"código não cadastrado"))</f>
        <v/>
      </c>
      <c r="D181" s="14" t="n"/>
      <c r="E181" s="16" t="n"/>
      <c r="F181" s="14" t="n"/>
    </row>
    <row r="182">
      <c r="A182" s="18" t="n"/>
      <c r="B182" s="14" t="n"/>
      <c r="C182" s="14">
        <f>IF(B182="","",IFERROR(VLOOKUP(B182,Produtos!$A$5:$B$504,2,FALSE),"código não cadastrado"))</f>
        <v/>
      </c>
      <c r="D182" s="14" t="n"/>
      <c r="E182" s="16" t="n"/>
      <c r="F182" s="14" t="n"/>
    </row>
    <row r="183">
      <c r="A183" s="18" t="n"/>
      <c r="B183" s="14" t="n"/>
      <c r="C183" s="14">
        <f>IF(B183="","",IFERROR(VLOOKUP(B183,Produtos!$A$5:$B$504,2,FALSE),"código não cadastrado"))</f>
        <v/>
      </c>
      <c r="D183" s="14" t="n"/>
      <c r="E183" s="16" t="n"/>
      <c r="F183" s="14" t="n"/>
    </row>
    <row r="184">
      <c r="A184" s="18" t="n"/>
      <c r="B184" s="14" t="n"/>
      <c r="C184" s="14">
        <f>IF(B184="","",IFERROR(VLOOKUP(B184,Produtos!$A$5:$B$504,2,FALSE),"código não cadastrado"))</f>
        <v/>
      </c>
      <c r="D184" s="14" t="n"/>
      <c r="E184" s="16" t="n"/>
      <c r="F184" s="14" t="n"/>
    </row>
    <row r="185">
      <c r="A185" s="18" t="n"/>
      <c r="B185" s="14" t="n"/>
      <c r="C185" s="14">
        <f>IF(B185="","",IFERROR(VLOOKUP(B185,Produtos!$A$5:$B$504,2,FALSE),"código não cadastrado"))</f>
        <v/>
      </c>
      <c r="D185" s="14" t="n"/>
      <c r="E185" s="16" t="n"/>
      <c r="F185" s="14" t="n"/>
    </row>
    <row r="186">
      <c r="A186" s="18" t="n"/>
      <c r="B186" s="14" t="n"/>
      <c r="C186" s="14">
        <f>IF(B186="","",IFERROR(VLOOKUP(B186,Produtos!$A$5:$B$504,2,FALSE),"código não cadastrado"))</f>
        <v/>
      </c>
      <c r="D186" s="14" t="n"/>
      <c r="E186" s="16" t="n"/>
      <c r="F186" s="14" t="n"/>
    </row>
    <row r="187">
      <c r="A187" s="18" t="n"/>
      <c r="B187" s="14" t="n"/>
      <c r="C187" s="14">
        <f>IF(B187="","",IFERROR(VLOOKUP(B187,Produtos!$A$5:$B$504,2,FALSE),"código não cadastrado"))</f>
        <v/>
      </c>
      <c r="D187" s="14" t="n"/>
      <c r="E187" s="16" t="n"/>
      <c r="F187" s="14" t="n"/>
    </row>
    <row r="188">
      <c r="A188" s="18" t="n"/>
      <c r="B188" s="14" t="n"/>
      <c r="C188" s="14">
        <f>IF(B188="","",IFERROR(VLOOKUP(B188,Produtos!$A$5:$B$504,2,FALSE),"código não cadastrado"))</f>
        <v/>
      </c>
      <c r="D188" s="14" t="n"/>
      <c r="E188" s="16" t="n"/>
      <c r="F188" s="14" t="n"/>
    </row>
    <row r="189">
      <c r="A189" s="18" t="n"/>
      <c r="B189" s="14" t="n"/>
      <c r="C189" s="14">
        <f>IF(B189="","",IFERROR(VLOOKUP(B189,Produtos!$A$5:$B$504,2,FALSE),"código não cadastrado"))</f>
        <v/>
      </c>
      <c r="D189" s="14" t="n"/>
      <c r="E189" s="16" t="n"/>
      <c r="F189" s="14" t="n"/>
    </row>
    <row r="190">
      <c r="A190" s="18" t="n"/>
      <c r="B190" s="14" t="n"/>
      <c r="C190" s="14">
        <f>IF(B190="","",IFERROR(VLOOKUP(B190,Produtos!$A$5:$B$504,2,FALSE),"código não cadastrado"))</f>
        <v/>
      </c>
      <c r="D190" s="14" t="n"/>
      <c r="E190" s="16" t="n"/>
      <c r="F190" s="14" t="n"/>
    </row>
    <row r="191">
      <c r="A191" s="18" t="n"/>
      <c r="B191" s="14" t="n"/>
      <c r="C191" s="14">
        <f>IF(B191="","",IFERROR(VLOOKUP(B191,Produtos!$A$5:$B$504,2,FALSE),"código não cadastrado"))</f>
        <v/>
      </c>
      <c r="D191" s="14" t="n"/>
      <c r="E191" s="16" t="n"/>
      <c r="F191" s="14" t="n"/>
    </row>
    <row r="192">
      <c r="A192" s="18" t="n"/>
      <c r="B192" s="14" t="n"/>
      <c r="C192" s="14">
        <f>IF(B192="","",IFERROR(VLOOKUP(B192,Produtos!$A$5:$B$504,2,FALSE),"código não cadastrado"))</f>
        <v/>
      </c>
      <c r="D192" s="14" t="n"/>
      <c r="E192" s="16" t="n"/>
      <c r="F192" s="14" t="n"/>
    </row>
    <row r="193">
      <c r="A193" s="18" t="n"/>
      <c r="B193" s="14" t="n"/>
      <c r="C193" s="14">
        <f>IF(B193="","",IFERROR(VLOOKUP(B193,Produtos!$A$5:$B$504,2,FALSE),"código não cadastrado"))</f>
        <v/>
      </c>
      <c r="D193" s="14" t="n"/>
      <c r="E193" s="16" t="n"/>
      <c r="F193" s="14" t="n"/>
    </row>
    <row r="194">
      <c r="A194" s="18" t="n"/>
      <c r="B194" s="14" t="n"/>
      <c r="C194" s="14">
        <f>IF(B194="","",IFERROR(VLOOKUP(B194,Produtos!$A$5:$B$504,2,FALSE),"código não cadastrado"))</f>
        <v/>
      </c>
      <c r="D194" s="14" t="n"/>
      <c r="E194" s="16" t="n"/>
      <c r="F194" s="14" t="n"/>
    </row>
    <row r="195">
      <c r="A195" s="18" t="n"/>
      <c r="B195" s="14" t="n"/>
      <c r="C195" s="14">
        <f>IF(B195="","",IFERROR(VLOOKUP(B195,Produtos!$A$5:$B$504,2,FALSE),"código não cadastrado"))</f>
        <v/>
      </c>
      <c r="D195" s="14" t="n"/>
      <c r="E195" s="16" t="n"/>
      <c r="F195" s="14" t="n"/>
    </row>
    <row r="196">
      <c r="A196" s="18" t="n"/>
      <c r="B196" s="14" t="n"/>
      <c r="C196" s="14">
        <f>IF(B196="","",IFERROR(VLOOKUP(B196,Produtos!$A$5:$B$504,2,FALSE),"código não cadastrado"))</f>
        <v/>
      </c>
      <c r="D196" s="14" t="n"/>
      <c r="E196" s="16" t="n"/>
      <c r="F196" s="14" t="n"/>
    </row>
    <row r="197">
      <c r="A197" s="18" t="n"/>
      <c r="B197" s="14" t="n"/>
      <c r="C197" s="14">
        <f>IF(B197="","",IFERROR(VLOOKUP(B197,Produtos!$A$5:$B$504,2,FALSE),"código não cadastrado"))</f>
        <v/>
      </c>
      <c r="D197" s="14" t="n"/>
      <c r="E197" s="16" t="n"/>
      <c r="F197" s="14" t="n"/>
    </row>
    <row r="198">
      <c r="A198" s="18" t="n"/>
      <c r="B198" s="14" t="n"/>
      <c r="C198" s="14">
        <f>IF(B198="","",IFERROR(VLOOKUP(B198,Produtos!$A$5:$B$504,2,FALSE),"código não cadastrado"))</f>
        <v/>
      </c>
      <c r="D198" s="14" t="n"/>
      <c r="E198" s="16" t="n"/>
      <c r="F198" s="14" t="n"/>
    </row>
    <row r="199">
      <c r="A199" s="18" t="n"/>
      <c r="B199" s="14" t="n"/>
      <c r="C199" s="14">
        <f>IF(B199="","",IFERROR(VLOOKUP(B199,Produtos!$A$5:$B$504,2,FALSE),"código não cadastrado"))</f>
        <v/>
      </c>
      <c r="D199" s="14" t="n"/>
      <c r="E199" s="16" t="n"/>
      <c r="F199" s="14" t="n"/>
    </row>
    <row r="200">
      <c r="A200" s="18" t="n"/>
      <c r="B200" s="14" t="n"/>
      <c r="C200" s="14">
        <f>IF(B200="","",IFERROR(VLOOKUP(B200,Produtos!$A$5:$B$504,2,FALSE),"código não cadastrado"))</f>
        <v/>
      </c>
      <c r="D200" s="14" t="n"/>
      <c r="E200" s="16" t="n"/>
      <c r="F200" s="14" t="n"/>
    </row>
    <row r="201">
      <c r="A201" s="18" t="n"/>
      <c r="B201" s="14" t="n"/>
      <c r="C201" s="14">
        <f>IF(B201="","",IFERROR(VLOOKUP(B201,Produtos!$A$5:$B$504,2,FALSE),"código não cadastrado"))</f>
        <v/>
      </c>
      <c r="D201" s="14" t="n"/>
      <c r="E201" s="16" t="n"/>
      <c r="F201" s="14" t="n"/>
    </row>
    <row r="202">
      <c r="A202" s="18" t="n"/>
      <c r="B202" s="14" t="n"/>
      <c r="C202" s="14">
        <f>IF(B202="","",IFERROR(VLOOKUP(B202,Produtos!$A$5:$B$504,2,FALSE),"código não cadastrado"))</f>
        <v/>
      </c>
      <c r="D202" s="14" t="n"/>
      <c r="E202" s="16" t="n"/>
      <c r="F202" s="14" t="n"/>
    </row>
    <row r="203">
      <c r="A203" s="18" t="n"/>
      <c r="B203" s="14" t="n"/>
      <c r="C203" s="14">
        <f>IF(B203="","",IFERROR(VLOOKUP(B203,Produtos!$A$5:$B$504,2,FALSE),"código não cadastrado"))</f>
        <v/>
      </c>
      <c r="D203" s="14" t="n"/>
      <c r="E203" s="16" t="n"/>
      <c r="F203" s="14" t="n"/>
    </row>
    <row r="204">
      <c r="A204" s="18" t="n"/>
      <c r="B204" s="14" t="n"/>
      <c r="C204" s="14">
        <f>IF(B204="","",IFERROR(VLOOKUP(B204,Produtos!$A$5:$B$504,2,FALSE),"código não cadastrado"))</f>
        <v/>
      </c>
      <c r="D204" s="14" t="n"/>
      <c r="E204" s="16" t="n"/>
      <c r="F204" s="14" t="n"/>
    </row>
    <row r="205">
      <c r="A205" s="18" t="n"/>
      <c r="B205" s="14" t="n"/>
      <c r="C205" s="14">
        <f>IF(B205="","",IFERROR(VLOOKUP(B205,Produtos!$A$5:$B$504,2,FALSE),"código não cadastrado"))</f>
        <v/>
      </c>
      <c r="D205" s="14" t="n"/>
      <c r="E205" s="16" t="n"/>
      <c r="F205" s="14" t="n"/>
    </row>
    <row r="206">
      <c r="A206" s="18" t="n"/>
      <c r="B206" s="14" t="n"/>
      <c r="C206" s="14">
        <f>IF(B206="","",IFERROR(VLOOKUP(B206,Produtos!$A$5:$B$504,2,FALSE),"código não cadastrado"))</f>
        <v/>
      </c>
      <c r="D206" s="14" t="n"/>
      <c r="E206" s="16" t="n"/>
      <c r="F206" s="14" t="n"/>
    </row>
    <row r="207">
      <c r="A207" s="18" t="n"/>
      <c r="B207" s="14" t="n"/>
      <c r="C207" s="14">
        <f>IF(B207="","",IFERROR(VLOOKUP(B207,Produtos!$A$5:$B$504,2,FALSE),"código não cadastrado"))</f>
        <v/>
      </c>
      <c r="D207" s="14" t="n"/>
      <c r="E207" s="16" t="n"/>
      <c r="F207" s="14" t="n"/>
    </row>
    <row r="208">
      <c r="A208" s="18" t="n"/>
      <c r="B208" s="14" t="n"/>
      <c r="C208" s="14">
        <f>IF(B208="","",IFERROR(VLOOKUP(B208,Produtos!$A$5:$B$504,2,FALSE),"código não cadastrado"))</f>
        <v/>
      </c>
      <c r="D208" s="14" t="n"/>
      <c r="E208" s="16" t="n"/>
      <c r="F208" s="14" t="n"/>
    </row>
    <row r="209">
      <c r="A209" s="18" t="n"/>
      <c r="B209" s="14" t="n"/>
      <c r="C209" s="14">
        <f>IF(B209="","",IFERROR(VLOOKUP(B209,Produtos!$A$5:$B$504,2,FALSE),"código não cadastrado"))</f>
        <v/>
      </c>
      <c r="D209" s="14" t="n"/>
      <c r="E209" s="16" t="n"/>
      <c r="F209" s="14" t="n"/>
    </row>
    <row r="210">
      <c r="A210" s="18" t="n"/>
      <c r="B210" s="14" t="n"/>
      <c r="C210" s="14">
        <f>IF(B210="","",IFERROR(VLOOKUP(B210,Produtos!$A$5:$B$504,2,FALSE),"código não cadastrado"))</f>
        <v/>
      </c>
      <c r="D210" s="14" t="n"/>
      <c r="E210" s="16" t="n"/>
      <c r="F210" s="14" t="n"/>
    </row>
    <row r="211">
      <c r="A211" s="18" t="n"/>
      <c r="B211" s="14" t="n"/>
      <c r="C211" s="14">
        <f>IF(B211="","",IFERROR(VLOOKUP(B211,Produtos!$A$5:$B$504,2,FALSE),"código não cadastrado"))</f>
        <v/>
      </c>
      <c r="D211" s="14" t="n"/>
      <c r="E211" s="16" t="n"/>
      <c r="F211" s="14" t="n"/>
    </row>
    <row r="212">
      <c r="A212" s="18" t="n"/>
      <c r="B212" s="14" t="n"/>
      <c r="C212" s="14">
        <f>IF(B212="","",IFERROR(VLOOKUP(B212,Produtos!$A$5:$B$504,2,FALSE),"código não cadastrado"))</f>
        <v/>
      </c>
      <c r="D212" s="14" t="n"/>
      <c r="E212" s="16" t="n"/>
      <c r="F212" s="14" t="n"/>
    </row>
    <row r="213">
      <c r="A213" s="18" t="n"/>
      <c r="B213" s="14" t="n"/>
      <c r="C213" s="14">
        <f>IF(B213="","",IFERROR(VLOOKUP(B213,Produtos!$A$5:$B$504,2,FALSE),"código não cadastrado"))</f>
        <v/>
      </c>
      <c r="D213" s="14" t="n"/>
      <c r="E213" s="16" t="n"/>
      <c r="F213" s="14" t="n"/>
    </row>
    <row r="214">
      <c r="A214" s="18" t="n"/>
      <c r="B214" s="14" t="n"/>
      <c r="C214" s="14">
        <f>IF(B214="","",IFERROR(VLOOKUP(B214,Produtos!$A$5:$B$504,2,FALSE),"código não cadastrado"))</f>
        <v/>
      </c>
      <c r="D214" s="14" t="n"/>
      <c r="E214" s="16" t="n"/>
      <c r="F214" s="14" t="n"/>
    </row>
    <row r="215">
      <c r="A215" s="18" t="n"/>
      <c r="B215" s="14" t="n"/>
      <c r="C215" s="14">
        <f>IF(B215="","",IFERROR(VLOOKUP(B215,Produtos!$A$5:$B$504,2,FALSE),"código não cadastrado"))</f>
        <v/>
      </c>
      <c r="D215" s="14" t="n"/>
      <c r="E215" s="16" t="n"/>
      <c r="F215" s="14" t="n"/>
    </row>
    <row r="216">
      <c r="A216" s="18" t="n"/>
      <c r="B216" s="14" t="n"/>
      <c r="C216" s="14">
        <f>IF(B216="","",IFERROR(VLOOKUP(B216,Produtos!$A$5:$B$504,2,FALSE),"código não cadastrado"))</f>
        <v/>
      </c>
      <c r="D216" s="14" t="n"/>
      <c r="E216" s="16" t="n"/>
      <c r="F216" s="14" t="n"/>
    </row>
    <row r="217">
      <c r="A217" s="18" t="n"/>
      <c r="B217" s="14" t="n"/>
      <c r="C217" s="14">
        <f>IF(B217="","",IFERROR(VLOOKUP(B217,Produtos!$A$5:$B$504,2,FALSE),"código não cadastrado"))</f>
        <v/>
      </c>
      <c r="D217" s="14" t="n"/>
      <c r="E217" s="16" t="n"/>
      <c r="F217" s="14" t="n"/>
    </row>
    <row r="218">
      <c r="A218" s="18" t="n"/>
      <c r="B218" s="14" t="n"/>
      <c r="C218" s="14">
        <f>IF(B218="","",IFERROR(VLOOKUP(B218,Produtos!$A$5:$B$504,2,FALSE),"código não cadastrado"))</f>
        <v/>
      </c>
      <c r="D218" s="14" t="n"/>
      <c r="E218" s="16" t="n"/>
      <c r="F218" s="14" t="n"/>
    </row>
    <row r="219">
      <c r="A219" s="18" t="n"/>
      <c r="B219" s="14" t="n"/>
      <c r="C219" s="14">
        <f>IF(B219="","",IFERROR(VLOOKUP(B219,Produtos!$A$5:$B$504,2,FALSE),"código não cadastrado"))</f>
        <v/>
      </c>
      <c r="D219" s="14" t="n"/>
      <c r="E219" s="16" t="n"/>
      <c r="F219" s="14" t="n"/>
    </row>
    <row r="220">
      <c r="A220" s="18" t="n"/>
      <c r="B220" s="14" t="n"/>
      <c r="C220" s="14">
        <f>IF(B220="","",IFERROR(VLOOKUP(B220,Produtos!$A$5:$B$504,2,FALSE),"código não cadastrado"))</f>
        <v/>
      </c>
      <c r="D220" s="14" t="n"/>
      <c r="E220" s="16" t="n"/>
      <c r="F220" s="14" t="n"/>
    </row>
    <row r="221">
      <c r="A221" s="18" t="n"/>
      <c r="B221" s="14" t="n"/>
      <c r="C221" s="14">
        <f>IF(B221="","",IFERROR(VLOOKUP(B221,Produtos!$A$5:$B$504,2,FALSE),"código não cadastrado"))</f>
        <v/>
      </c>
      <c r="D221" s="14" t="n"/>
      <c r="E221" s="16" t="n"/>
      <c r="F221" s="14" t="n"/>
    </row>
    <row r="222">
      <c r="A222" s="18" t="n"/>
      <c r="B222" s="14" t="n"/>
      <c r="C222" s="14">
        <f>IF(B222="","",IFERROR(VLOOKUP(B222,Produtos!$A$5:$B$504,2,FALSE),"código não cadastrado"))</f>
        <v/>
      </c>
      <c r="D222" s="14" t="n"/>
      <c r="E222" s="16" t="n"/>
      <c r="F222" s="14" t="n"/>
    </row>
    <row r="223">
      <c r="A223" s="18" t="n"/>
      <c r="B223" s="14" t="n"/>
      <c r="C223" s="14">
        <f>IF(B223="","",IFERROR(VLOOKUP(B223,Produtos!$A$5:$B$504,2,FALSE),"código não cadastrado"))</f>
        <v/>
      </c>
      <c r="D223" s="14" t="n"/>
      <c r="E223" s="16" t="n"/>
      <c r="F223" s="14" t="n"/>
    </row>
    <row r="224">
      <c r="A224" s="18" t="n"/>
      <c r="B224" s="14" t="n"/>
      <c r="C224" s="14">
        <f>IF(B224="","",IFERROR(VLOOKUP(B224,Produtos!$A$5:$B$504,2,FALSE),"código não cadastrado"))</f>
        <v/>
      </c>
      <c r="D224" s="14" t="n"/>
      <c r="E224" s="16" t="n"/>
      <c r="F224" s="14" t="n"/>
    </row>
    <row r="225">
      <c r="A225" s="18" t="n"/>
      <c r="B225" s="14" t="n"/>
      <c r="C225" s="14">
        <f>IF(B225="","",IFERROR(VLOOKUP(B225,Produtos!$A$5:$B$504,2,FALSE),"código não cadastrado"))</f>
        <v/>
      </c>
      <c r="D225" s="14" t="n"/>
      <c r="E225" s="16" t="n"/>
      <c r="F225" s="14" t="n"/>
    </row>
    <row r="226">
      <c r="A226" s="18" t="n"/>
      <c r="B226" s="14" t="n"/>
      <c r="C226" s="14">
        <f>IF(B226="","",IFERROR(VLOOKUP(B226,Produtos!$A$5:$B$504,2,FALSE),"código não cadastrado"))</f>
        <v/>
      </c>
      <c r="D226" s="14" t="n"/>
      <c r="E226" s="16" t="n"/>
      <c r="F226" s="14" t="n"/>
    </row>
    <row r="227">
      <c r="A227" s="18" t="n"/>
      <c r="B227" s="14" t="n"/>
      <c r="C227" s="14">
        <f>IF(B227="","",IFERROR(VLOOKUP(B227,Produtos!$A$5:$B$504,2,FALSE),"código não cadastrado"))</f>
        <v/>
      </c>
      <c r="D227" s="14" t="n"/>
      <c r="E227" s="16" t="n"/>
      <c r="F227" s="14" t="n"/>
    </row>
    <row r="228">
      <c r="A228" s="18" t="n"/>
      <c r="B228" s="14" t="n"/>
      <c r="C228" s="14">
        <f>IF(B228="","",IFERROR(VLOOKUP(B228,Produtos!$A$5:$B$504,2,FALSE),"código não cadastrado"))</f>
        <v/>
      </c>
      <c r="D228" s="14" t="n"/>
      <c r="E228" s="16" t="n"/>
      <c r="F228" s="14" t="n"/>
    </row>
    <row r="229">
      <c r="A229" s="18" t="n"/>
      <c r="B229" s="14" t="n"/>
      <c r="C229" s="14">
        <f>IF(B229="","",IFERROR(VLOOKUP(B229,Produtos!$A$5:$B$504,2,FALSE),"código não cadastrado"))</f>
        <v/>
      </c>
      <c r="D229" s="14" t="n"/>
      <c r="E229" s="16" t="n"/>
      <c r="F229" s="14" t="n"/>
    </row>
    <row r="230">
      <c r="A230" s="18" t="n"/>
      <c r="B230" s="14" t="n"/>
      <c r="C230" s="14">
        <f>IF(B230="","",IFERROR(VLOOKUP(B230,Produtos!$A$5:$B$504,2,FALSE),"código não cadastrado"))</f>
        <v/>
      </c>
      <c r="D230" s="14" t="n"/>
      <c r="E230" s="16" t="n"/>
      <c r="F230" s="14" t="n"/>
    </row>
    <row r="231">
      <c r="A231" s="18" t="n"/>
      <c r="B231" s="14" t="n"/>
      <c r="C231" s="14">
        <f>IF(B231="","",IFERROR(VLOOKUP(B231,Produtos!$A$5:$B$504,2,FALSE),"código não cadastrado"))</f>
        <v/>
      </c>
      <c r="D231" s="14" t="n"/>
      <c r="E231" s="16" t="n"/>
      <c r="F231" s="14" t="n"/>
    </row>
    <row r="232">
      <c r="A232" s="18" t="n"/>
      <c r="B232" s="14" t="n"/>
      <c r="C232" s="14">
        <f>IF(B232="","",IFERROR(VLOOKUP(B232,Produtos!$A$5:$B$504,2,FALSE),"código não cadastrado"))</f>
        <v/>
      </c>
      <c r="D232" s="14" t="n"/>
      <c r="E232" s="16" t="n"/>
      <c r="F232" s="14" t="n"/>
    </row>
    <row r="233">
      <c r="A233" s="18" t="n"/>
      <c r="B233" s="14" t="n"/>
      <c r="C233" s="14">
        <f>IF(B233="","",IFERROR(VLOOKUP(B233,Produtos!$A$5:$B$504,2,FALSE),"código não cadastrado"))</f>
        <v/>
      </c>
      <c r="D233" s="14" t="n"/>
      <c r="E233" s="16" t="n"/>
      <c r="F233" s="14" t="n"/>
    </row>
    <row r="234">
      <c r="A234" s="18" t="n"/>
      <c r="B234" s="14" t="n"/>
      <c r="C234" s="14">
        <f>IF(B234="","",IFERROR(VLOOKUP(B234,Produtos!$A$5:$B$504,2,FALSE),"código não cadastrado"))</f>
        <v/>
      </c>
      <c r="D234" s="14" t="n"/>
      <c r="E234" s="16" t="n"/>
      <c r="F234" s="14" t="n"/>
    </row>
    <row r="235">
      <c r="A235" s="18" t="n"/>
      <c r="B235" s="14" t="n"/>
      <c r="C235" s="14">
        <f>IF(B235="","",IFERROR(VLOOKUP(B235,Produtos!$A$5:$B$504,2,FALSE),"código não cadastrado"))</f>
        <v/>
      </c>
      <c r="D235" s="14" t="n"/>
      <c r="E235" s="16" t="n"/>
      <c r="F235" s="14" t="n"/>
    </row>
    <row r="236">
      <c r="A236" s="18" t="n"/>
      <c r="B236" s="14" t="n"/>
      <c r="C236" s="14">
        <f>IF(B236="","",IFERROR(VLOOKUP(B236,Produtos!$A$5:$B$504,2,FALSE),"código não cadastrado"))</f>
        <v/>
      </c>
      <c r="D236" s="14" t="n"/>
      <c r="E236" s="16" t="n"/>
      <c r="F236" s="14" t="n"/>
    </row>
    <row r="237">
      <c r="A237" s="18" t="n"/>
      <c r="B237" s="14" t="n"/>
      <c r="C237" s="14">
        <f>IF(B237="","",IFERROR(VLOOKUP(B237,Produtos!$A$5:$B$504,2,FALSE),"código não cadastrado"))</f>
        <v/>
      </c>
      <c r="D237" s="14" t="n"/>
      <c r="E237" s="16" t="n"/>
      <c r="F237" s="14" t="n"/>
    </row>
    <row r="238">
      <c r="A238" s="18" t="n"/>
      <c r="B238" s="14" t="n"/>
      <c r="C238" s="14">
        <f>IF(B238="","",IFERROR(VLOOKUP(B238,Produtos!$A$5:$B$504,2,FALSE),"código não cadastrado"))</f>
        <v/>
      </c>
      <c r="D238" s="14" t="n"/>
      <c r="E238" s="16" t="n"/>
      <c r="F238" s="14" t="n"/>
    </row>
    <row r="239">
      <c r="A239" s="18" t="n"/>
      <c r="B239" s="14" t="n"/>
      <c r="C239" s="14">
        <f>IF(B239="","",IFERROR(VLOOKUP(B239,Produtos!$A$5:$B$504,2,FALSE),"código não cadastrado"))</f>
        <v/>
      </c>
      <c r="D239" s="14" t="n"/>
      <c r="E239" s="16" t="n"/>
      <c r="F239" s="14" t="n"/>
    </row>
    <row r="240">
      <c r="A240" s="18" t="n"/>
      <c r="B240" s="14" t="n"/>
      <c r="C240" s="14">
        <f>IF(B240="","",IFERROR(VLOOKUP(B240,Produtos!$A$5:$B$504,2,FALSE),"código não cadastrado"))</f>
        <v/>
      </c>
      <c r="D240" s="14" t="n"/>
      <c r="E240" s="16" t="n"/>
      <c r="F240" s="14" t="n"/>
    </row>
    <row r="241">
      <c r="A241" s="18" t="n"/>
      <c r="B241" s="14" t="n"/>
      <c r="C241" s="14">
        <f>IF(B241="","",IFERROR(VLOOKUP(B241,Produtos!$A$5:$B$504,2,FALSE),"código não cadastrado"))</f>
        <v/>
      </c>
      <c r="D241" s="14" t="n"/>
      <c r="E241" s="16" t="n"/>
      <c r="F241" s="14" t="n"/>
    </row>
    <row r="242">
      <c r="A242" s="18" t="n"/>
      <c r="B242" s="14" t="n"/>
      <c r="C242" s="14">
        <f>IF(B242="","",IFERROR(VLOOKUP(B242,Produtos!$A$5:$B$504,2,FALSE),"código não cadastrado"))</f>
        <v/>
      </c>
      <c r="D242" s="14" t="n"/>
      <c r="E242" s="16" t="n"/>
      <c r="F242" s="14" t="n"/>
    </row>
    <row r="243">
      <c r="A243" s="18" t="n"/>
      <c r="B243" s="14" t="n"/>
      <c r="C243" s="14">
        <f>IF(B243="","",IFERROR(VLOOKUP(B243,Produtos!$A$5:$B$504,2,FALSE),"código não cadastrado"))</f>
        <v/>
      </c>
      <c r="D243" s="14" t="n"/>
      <c r="E243" s="16" t="n"/>
      <c r="F243" s="14" t="n"/>
    </row>
    <row r="244">
      <c r="A244" s="18" t="n"/>
      <c r="B244" s="14" t="n"/>
      <c r="C244" s="14">
        <f>IF(B244="","",IFERROR(VLOOKUP(B244,Produtos!$A$5:$B$504,2,FALSE),"código não cadastrado"))</f>
        <v/>
      </c>
      <c r="D244" s="14" t="n"/>
      <c r="E244" s="16" t="n"/>
      <c r="F244" s="14" t="n"/>
    </row>
    <row r="245">
      <c r="A245" s="18" t="n"/>
      <c r="B245" s="14" t="n"/>
      <c r="C245" s="14">
        <f>IF(B245="","",IFERROR(VLOOKUP(B245,Produtos!$A$5:$B$504,2,FALSE),"código não cadastrado"))</f>
        <v/>
      </c>
      <c r="D245" s="14" t="n"/>
      <c r="E245" s="16" t="n"/>
      <c r="F245" s="14" t="n"/>
    </row>
    <row r="246">
      <c r="A246" s="18" t="n"/>
      <c r="B246" s="14" t="n"/>
      <c r="C246" s="14">
        <f>IF(B246="","",IFERROR(VLOOKUP(B246,Produtos!$A$5:$B$504,2,FALSE),"código não cadastrado"))</f>
        <v/>
      </c>
      <c r="D246" s="14" t="n"/>
      <c r="E246" s="16" t="n"/>
      <c r="F246" s="14" t="n"/>
    </row>
    <row r="247">
      <c r="A247" s="18" t="n"/>
      <c r="B247" s="14" t="n"/>
      <c r="C247" s="14">
        <f>IF(B247="","",IFERROR(VLOOKUP(B247,Produtos!$A$5:$B$504,2,FALSE),"código não cadastrado"))</f>
        <v/>
      </c>
      <c r="D247" s="14" t="n"/>
      <c r="E247" s="16" t="n"/>
      <c r="F247" s="14" t="n"/>
    </row>
    <row r="248">
      <c r="A248" s="18" t="n"/>
      <c r="B248" s="14" t="n"/>
      <c r="C248" s="14">
        <f>IF(B248="","",IFERROR(VLOOKUP(B248,Produtos!$A$5:$B$504,2,FALSE),"código não cadastrado"))</f>
        <v/>
      </c>
      <c r="D248" s="14" t="n"/>
      <c r="E248" s="16" t="n"/>
      <c r="F248" s="14" t="n"/>
    </row>
    <row r="249">
      <c r="A249" s="18" t="n"/>
      <c r="B249" s="14" t="n"/>
      <c r="C249" s="14">
        <f>IF(B249="","",IFERROR(VLOOKUP(B249,Produtos!$A$5:$B$504,2,FALSE),"código não cadastrado"))</f>
        <v/>
      </c>
      <c r="D249" s="14" t="n"/>
      <c r="E249" s="16" t="n"/>
      <c r="F249" s="14" t="n"/>
    </row>
    <row r="250">
      <c r="A250" s="18" t="n"/>
      <c r="B250" s="14" t="n"/>
      <c r="C250" s="14">
        <f>IF(B250="","",IFERROR(VLOOKUP(B250,Produtos!$A$5:$B$504,2,FALSE),"código não cadastrado"))</f>
        <v/>
      </c>
      <c r="D250" s="14" t="n"/>
      <c r="E250" s="16" t="n"/>
      <c r="F250" s="14" t="n"/>
    </row>
    <row r="251">
      <c r="A251" s="18" t="n"/>
      <c r="B251" s="14" t="n"/>
      <c r="C251" s="14">
        <f>IF(B251="","",IFERROR(VLOOKUP(B251,Produtos!$A$5:$B$504,2,FALSE),"código não cadastrado"))</f>
        <v/>
      </c>
      <c r="D251" s="14" t="n"/>
      <c r="E251" s="16" t="n"/>
      <c r="F251" s="14" t="n"/>
    </row>
    <row r="252">
      <c r="A252" s="18" t="n"/>
      <c r="B252" s="14" t="n"/>
      <c r="C252" s="14">
        <f>IF(B252="","",IFERROR(VLOOKUP(B252,Produtos!$A$5:$B$504,2,FALSE),"código não cadastrado"))</f>
        <v/>
      </c>
      <c r="D252" s="14" t="n"/>
      <c r="E252" s="16" t="n"/>
      <c r="F252" s="14" t="n"/>
    </row>
    <row r="253">
      <c r="A253" s="18" t="n"/>
      <c r="B253" s="14" t="n"/>
      <c r="C253" s="14">
        <f>IF(B253="","",IFERROR(VLOOKUP(B253,Produtos!$A$5:$B$504,2,FALSE),"código não cadastrado"))</f>
        <v/>
      </c>
      <c r="D253" s="14" t="n"/>
      <c r="E253" s="16" t="n"/>
      <c r="F253" s="14" t="n"/>
    </row>
    <row r="254">
      <c r="A254" s="18" t="n"/>
      <c r="B254" s="14" t="n"/>
      <c r="C254" s="14">
        <f>IF(B254="","",IFERROR(VLOOKUP(B254,Produtos!$A$5:$B$504,2,FALSE),"código não cadastrado"))</f>
        <v/>
      </c>
      <c r="D254" s="14" t="n"/>
      <c r="E254" s="16" t="n"/>
      <c r="F254" s="14" t="n"/>
    </row>
    <row r="255">
      <c r="A255" s="18" t="n"/>
      <c r="B255" s="14" t="n"/>
      <c r="C255" s="14">
        <f>IF(B255="","",IFERROR(VLOOKUP(B255,Produtos!$A$5:$B$504,2,FALSE),"código não cadastrado"))</f>
        <v/>
      </c>
      <c r="D255" s="14" t="n"/>
      <c r="E255" s="16" t="n"/>
      <c r="F255" s="14" t="n"/>
    </row>
    <row r="256">
      <c r="A256" s="18" t="n"/>
      <c r="B256" s="14" t="n"/>
      <c r="C256" s="14">
        <f>IF(B256="","",IFERROR(VLOOKUP(B256,Produtos!$A$5:$B$504,2,FALSE),"código não cadastrado"))</f>
        <v/>
      </c>
      <c r="D256" s="14" t="n"/>
      <c r="E256" s="16" t="n"/>
      <c r="F256" s="14" t="n"/>
    </row>
    <row r="257">
      <c r="A257" s="18" t="n"/>
      <c r="B257" s="14" t="n"/>
      <c r="C257" s="14">
        <f>IF(B257="","",IFERROR(VLOOKUP(B257,Produtos!$A$5:$B$504,2,FALSE),"código não cadastrado"))</f>
        <v/>
      </c>
      <c r="D257" s="14" t="n"/>
      <c r="E257" s="16" t="n"/>
      <c r="F257" s="14" t="n"/>
    </row>
    <row r="258">
      <c r="A258" s="18" t="n"/>
      <c r="B258" s="14" t="n"/>
      <c r="C258" s="14">
        <f>IF(B258="","",IFERROR(VLOOKUP(B258,Produtos!$A$5:$B$504,2,FALSE),"código não cadastrado"))</f>
        <v/>
      </c>
      <c r="D258" s="14" t="n"/>
      <c r="E258" s="16" t="n"/>
      <c r="F258" s="14" t="n"/>
    </row>
    <row r="259">
      <c r="A259" s="18" t="n"/>
      <c r="B259" s="14" t="n"/>
      <c r="C259" s="14">
        <f>IF(B259="","",IFERROR(VLOOKUP(B259,Produtos!$A$5:$B$504,2,FALSE),"código não cadastrado"))</f>
        <v/>
      </c>
      <c r="D259" s="14" t="n"/>
      <c r="E259" s="16" t="n"/>
      <c r="F259" s="14" t="n"/>
    </row>
    <row r="260">
      <c r="A260" s="18" t="n"/>
      <c r="B260" s="14" t="n"/>
      <c r="C260" s="14">
        <f>IF(B260="","",IFERROR(VLOOKUP(B260,Produtos!$A$5:$B$504,2,FALSE),"código não cadastrado"))</f>
        <v/>
      </c>
      <c r="D260" s="14" t="n"/>
      <c r="E260" s="16" t="n"/>
      <c r="F260" s="14" t="n"/>
    </row>
    <row r="261">
      <c r="A261" s="18" t="n"/>
      <c r="B261" s="14" t="n"/>
      <c r="C261" s="14">
        <f>IF(B261="","",IFERROR(VLOOKUP(B261,Produtos!$A$5:$B$504,2,FALSE),"código não cadastrado"))</f>
        <v/>
      </c>
      <c r="D261" s="14" t="n"/>
      <c r="E261" s="16" t="n"/>
      <c r="F261" s="14" t="n"/>
    </row>
    <row r="262">
      <c r="A262" s="18" t="n"/>
      <c r="B262" s="14" t="n"/>
      <c r="C262" s="14">
        <f>IF(B262="","",IFERROR(VLOOKUP(B262,Produtos!$A$5:$B$504,2,FALSE),"código não cadastrado"))</f>
        <v/>
      </c>
      <c r="D262" s="14" t="n"/>
      <c r="E262" s="16" t="n"/>
      <c r="F262" s="14" t="n"/>
    </row>
    <row r="263">
      <c r="A263" s="18" t="n"/>
      <c r="B263" s="14" t="n"/>
      <c r="C263" s="14">
        <f>IF(B263="","",IFERROR(VLOOKUP(B263,Produtos!$A$5:$B$504,2,FALSE),"código não cadastrado"))</f>
        <v/>
      </c>
      <c r="D263" s="14" t="n"/>
      <c r="E263" s="16" t="n"/>
      <c r="F263" s="14" t="n"/>
    </row>
    <row r="264">
      <c r="A264" s="18" t="n"/>
      <c r="B264" s="14" t="n"/>
      <c r="C264" s="14">
        <f>IF(B264="","",IFERROR(VLOOKUP(B264,Produtos!$A$5:$B$504,2,FALSE),"código não cadastrado"))</f>
        <v/>
      </c>
      <c r="D264" s="14" t="n"/>
      <c r="E264" s="16" t="n"/>
      <c r="F264" s="14" t="n"/>
    </row>
    <row r="265">
      <c r="A265" s="18" t="n"/>
      <c r="B265" s="14" t="n"/>
      <c r="C265" s="14">
        <f>IF(B265="","",IFERROR(VLOOKUP(B265,Produtos!$A$5:$B$504,2,FALSE),"código não cadastrado"))</f>
        <v/>
      </c>
      <c r="D265" s="14" t="n"/>
      <c r="E265" s="16" t="n"/>
      <c r="F265" s="14" t="n"/>
    </row>
    <row r="266">
      <c r="A266" s="18" t="n"/>
      <c r="B266" s="14" t="n"/>
      <c r="C266" s="14">
        <f>IF(B266="","",IFERROR(VLOOKUP(B266,Produtos!$A$5:$B$504,2,FALSE),"código não cadastrado"))</f>
        <v/>
      </c>
      <c r="D266" s="14" t="n"/>
      <c r="E266" s="16" t="n"/>
      <c r="F266" s="14" t="n"/>
    </row>
    <row r="267">
      <c r="A267" s="18" t="n"/>
      <c r="B267" s="14" t="n"/>
      <c r="C267" s="14">
        <f>IF(B267="","",IFERROR(VLOOKUP(B267,Produtos!$A$5:$B$504,2,FALSE),"código não cadastrado"))</f>
        <v/>
      </c>
      <c r="D267" s="14" t="n"/>
      <c r="E267" s="16" t="n"/>
      <c r="F267" s="14" t="n"/>
    </row>
    <row r="268">
      <c r="A268" s="18" t="n"/>
      <c r="B268" s="14" t="n"/>
      <c r="C268" s="14">
        <f>IF(B268="","",IFERROR(VLOOKUP(B268,Produtos!$A$5:$B$504,2,FALSE),"código não cadastrado"))</f>
        <v/>
      </c>
      <c r="D268" s="14" t="n"/>
      <c r="E268" s="16" t="n"/>
      <c r="F268" s="14" t="n"/>
    </row>
    <row r="269">
      <c r="A269" s="18" t="n"/>
      <c r="B269" s="14" t="n"/>
      <c r="C269" s="14">
        <f>IF(B269="","",IFERROR(VLOOKUP(B269,Produtos!$A$5:$B$504,2,FALSE),"código não cadastrado"))</f>
        <v/>
      </c>
      <c r="D269" s="14" t="n"/>
      <c r="E269" s="16" t="n"/>
      <c r="F269" s="14" t="n"/>
    </row>
    <row r="270">
      <c r="A270" s="18" t="n"/>
      <c r="B270" s="14" t="n"/>
      <c r="C270" s="14">
        <f>IF(B270="","",IFERROR(VLOOKUP(B270,Produtos!$A$5:$B$504,2,FALSE),"código não cadastrado"))</f>
        <v/>
      </c>
      <c r="D270" s="14" t="n"/>
      <c r="E270" s="16" t="n"/>
      <c r="F270" s="14" t="n"/>
    </row>
    <row r="271">
      <c r="A271" s="18" t="n"/>
      <c r="B271" s="14" t="n"/>
      <c r="C271" s="14">
        <f>IF(B271="","",IFERROR(VLOOKUP(B271,Produtos!$A$5:$B$504,2,FALSE),"código não cadastrado"))</f>
        <v/>
      </c>
      <c r="D271" s="14" t="n"/>
      <c r="E271" s="16" t="n"/>
      <c r="F271" s="14" t="n"/>
    </row>
    <row r="272">
      <c r="A272" s="18" t="n"/>
      <c r="B272" s="14" t="n"/>
      <c r="C272" s="14">
        <f>IF(B272="","",IFERROR(VLOOKUP(B272,Produtos!$A$5:$B$504,2,FALSE),"código não cadastrado"))</f>
        <v/>
      </c>
      <c r="D272" s="14" t="n"/>
      <c r="E272" s="16" t="n"/>
      <c r="F272" s="14" t="n"/>
    </row>
    <row r="273">
      <c r="A273" s="18" t="n"/>
      <c r="B273" s="14" t="n"/>
      <c r="C273" s="14">
        <f>IF(B273="","",IFERROR(VLOOKUP(B273,Produtos!$A$5:$B$504,2,FALSE),"código não cadastrado"))</f>
        <v/>
      </c>
      <c r="D273" s="14" t="n"/>
      <c r="E273" s="16" t="n"/>
      <c r="F273" s="14" t="n"/>
    </row>
    <row r="274">
      <c r="A274" s="18" t="n"/>
      <c r="B274" s="14" t="n"/>
      <c r="C274" s="14">
        <f>IF(B274="","",IFERROR(VLOOKUP(B274,Produtos!$A$5:$B$504,2,FALSE),"código não cadastrado"))</f>
        <v/>
      </c>
      <c r="D274" s="14" t="n"/>
      <c r="E274" s="16" t="n"/>
      <c r="F274" s="14" t="n"/>
    </row>
    <row r="275">
      <c r="A275" s="18" t="n"/>
      <c r="B275" s="14" t="n"/>
      <c r="C275" s="14">
        <f>IF(B275="","",IFERROR(VLOOKUP(B275,Produtos!$A$5:$B$504,2,FALSE),"código não cadastrado"))</f>
        <v/>
      </c>
      <c r="D275" s="14" t="n"/>
      <c r="E275" s="16" t="n"/>
      <c r="F275" s="14" t="n"/>
    </row>
    <row r="276">
      <c r="A276" s="18" t="n"/>
      <c r="B276" s="14" t="n"/>
      <c r="C276" s="14">
        <f>IF(B276="","",IFERROR(VLOOKUP(B276,Produtos!$A$5:$B$504,2,FALSE),"código não cadastrado"))</f>
        <v/>
      </c>
      <c r="D276" s="14" t="n"/>
      <c r="E276" s="16" t="n"/>
      <c r="F276" s="14" t="n"/>
    </row>
    <row r="277">
      <c r="A277" s="18" t="n"/>
      <c r="B277" s="14" t="n"/>
      <c r="C277" s="14">
        <f>IF(B277="","",IFERROR(VLOOKUP(B277,Produtos!$A$5:$B$504,2,FALSE),"código não cadastrado"))</f>
        <v/>
      </c>
      <c r="D277" s="14" t="n"/>
      <c r="E277" s="16" t="n"/>
      <c r="F277" s="14" t="n"/>
    </row>
    <row r="278">
      <c r="A278" s="18" t="n"/>
      <c r="B278" s="14" t="n"/>
      <c r="C278" s="14">
        <f>IF(B278="","",IFERROR(VLOOKUP(B278,Produtos!$A$5:$B$504,2,FALSE),"código não cadastrado"))</f>
        <v/>
      </c>
      <c r="D278" s="14" t="n"/>
      <c r="E278" s="16" t="n"/>
      <c r="F278" s="14" t="n"/>
    </row>
    <row r="279">
      <c r="A279" s="18" t="n"/>
      <c r="B279" s="14" t="n"/>
      <c r="C279" s="14">
        <f>IF(B279="","",IFERROR(VLOOKUP(B279,Produtos!$A$5:$B$504,2,FALSE),"código não cadastrado"))</f>
        <v/>
      </c>
      <c r="D279" s="14" t="n"/>
      <c r="E279" s="16" t="n"/>
      <c r="F279" s="14" t="n"/>
    </row>
    <row r="280">
      <c r="A280" s="18" t="n"/>
      <c r="B280" s="14" t="n"/>
      <c r="C280" s="14">
        <f>IF(B280="","",IFERROR(VLOOKUP(B280,Produtos!$A$5:$B$504,2,FALSE),"código não cadastrado"))</f>
        <v/>
      </c>
      <c r="D280" s="14" t="n"/>
      <c r="E280" s="16" t="n"/>
      <c r="F280" s="14" t="n"/>
    </row>
    <row r="281">
      <c r="A281" s="18" t="n"/>
      <c r="B281" s="14" t="n"/>
      <c r="C281" s="14">
        <f>IF(B281="","",IFERROR(VLOOKUP(B281,Produtos!$A$5:$B$504,2,FALSE),"código não cadastrado"))</f>
        <v/>
      </c>
      <c r="D281" s="14" t="n"/>
      <c r="E281" s="16" t="n"/>
      <c r="F281" s="14" t="n"/>
    </row>
    <row r="282">
      <c r="A282" s="18" t="n"/>
      <c r="B282" s="14" t="n"/>
      <c r="C282" s="14">
        <f>IF(B282="","",IFERROR(VLOOKUP(B282,Produtos!$A$5:$B$504,2,FALSE),"código não cadastrado"))</f>
        <v/>
      </c>
      <c r="D282" s="14" t="n"/>
      <c r="E282" s="16" t="n"/>
      <c r="F282" s="14" t="n"/>
    </row>
    <row r="283">
      <c r="A283" s="18" t="n"/>
      <c r="B283" s="14" t="n"/>
      <c r="C283" s="14">
        <f>IF(B283="","",IFERROR(VLOOKUP(B283,Produtos!$A$5:$B$504,2,FALSE),"código não cadastrado"))</f>
        <v/>
      </c>
      <c r="D283" s="14" t="n"/>
      <c r="E283" s="16" t="n"/>
      <c r="F283" s="14" t="n"/>
    </row>
    <row r="284">
      <c r="A284" s="18" t="n"/>
      <c r="B284" s="14" t="n"/>
      <c r="C284" s="14">
        <f>IF(B284="","",IFERROR(VLOOKUP(B284,Produtos!$A$5:$B$504,2,FALSE),"código não cadastrado"))</f>
        <v/>
      </c>
      <c r="D284" s="14" t="n"/>
      <c r="E284" s="16" t="n"/>
      <c r="F284" s="14" t="n"/>
    </row>
    <row r="285">
      <c r="A285" s="18" t="n"/>
      <c r="B285" s="14" t="n"/>
      <c r="C285" s="14">
        <f>IF(B285="","",IFERROR(VLOOKUP(B285,Produtos!$A$5:$B$504,2,FALSE),"código não cadastrado"))</f>
        <v/>
      </c>
      <c r="D285" s="14" t="n"/>
      <c r="E285" s="16" t="n"/>
      <c r="F285" s="14" t="n"/>
    </row>
    <row r="286">
      <c r="A286" s="18" t="n"/>
      <c r="B286" s="14" t="n"/>
      <c r="C286" s="14">
        <f>IF(B286="","",IFERROR(VLOOKUP(B286,Produtos!$A$5:$B$504,2,FALSE),"código não cadastrado"))</f>
        <v/>
      </c>
      <c r="D286" s="14" t="n"/>
      <c r="E286" s="16" t="n"/>
      <c r="F286" s="14" t="n"/>
    </row>
    <row r="287">
      <c r="A287" s="18" t="n"/>
      <c r="B287" s="14" t="n"/>
      <c r="C287" s="14">
        <f>IF(B287="","",IFERROR(VLOOKUP(B287,Produtos!$A$5:$B$504,2,FALSE),"código não cadastrado"))</f>
        <v/>
      </c>
      <c r="D287" s="14" t="n"/>
      <c r="E287" s="16" t="n"/>
      <c r="F287" s="14" t="n"/>
    </row>
    <row r="288">
      <c r="A288" s="18" t="n"/>
      <c r="B288" s="14" t="n"/>
      <c r="C288" s="14">
        <f>IF(B288="","",IFERROR(VLOOKUP(B288,Produtos!$A$5:$B$504,2,FALSE),"código não cadastrado"))</f>
        <v/>
      </c>
      <c r="D288" s="14" t="n"/>
      <c r="E288" s="16" t="n"/>
      <c r="F288" s="14" t="n"/>
    </row>
    <row r="289">
      <c r="A289" s="18" t="n"/>
      <c r="B289" s="14" t="n"/>
      <c r="C289" s="14">
        <f>IF(B289="","",IFERROR(VLOOKUP(B289,Produtos!$A$5:$B$504,2,FALSE),"código não cadastrado"))</f>
        <v/>
      </c>
      <c r="D289" s="14" t="n"/>
      <c r="E289" s="16" t="n"/>
      <c r="F289" s="14" t="n"/>
    </row>
    <row r="290">
      <c r="A290" s="18" t="n"/>
      <c r="B290" s="14" t="n"/>
      <c r="C290" s="14">
        <f>IF(B290="","",IFERROR(VLOOKUP(B290,Produtos!$A$5:$B$504,2,FALSE),"código não cadastrado"))</f>
        <v/>
      </c>
      <c r="D290" s="14" t="n"/>
      <c r="E290" s="16" t="n"/>
      <c r="F290" s="14" t="n"/>
    </row>
    <row r="291">
      <c r="A291" s="18" t="n"/>
      <c r="B291" s="14" t="n"/>
      <c r="C291" s="14">
        <f>IF(B291="","",IFERROR(VLOOKUP(B291,Produtos!$A$5:$B$504,2,FALSE),"código não cadastrado"))</f>
        <v/>
      </c>
      <c r="D291" s="14" t="n"/>
      <c r="E291" s="16" t="n"/>
      <c r="F291" s="14" t="n"/>
    </row>
    <row r="292">
      <c r="A292" s="18" t="n"/>
      <c r="B292" s="14" t="n"/>
      <c r="C292" s="14">
        <f>IF(B292="","",IFERROR(VLOOKUP(B292,Produtos!$A$5:$B$504,2,FALSE),"código não cadastrado"))</f>
        <v/>
      </c>
      <c r="D292" s="14" t="n"/>
      <c r="E292" s="16" t="n"/>
      <c r="F292" s="14" t="n"/>
    </row>
    <row r="293">
      <c r="A293" s="18" t="n"/>
      <c r="B293" s="14" t="n"/>
      <c r="C293" s="14">
        <f>IF(B293="","",IFERROR(VLOOKUP(B293,Produtos!$A$5:$B$504,2,FALSE),"código não cadastrado"))</f>
        <v/>
      </c>
      <c r="D293" s="14" t="n"/>
      <c r="E293" s="16" t="n"/>
      <c r="F293" s="14" t="n"/>
    </row>
    <row r="294">
      <c r="A294" s="18" t="n"/>
      <c r="B294" s="14" t="n"/>
      <c r="C294" s="14">
        <f>IF(B294="","",IFERROR(VLOOKUP(B294,Produtos!$A$5:$B$504,2,FALSE),"código não cadastrado"))</f>
        <v/>
      </c>
      <c r="D294" s="14" t="n"/>
      <c r="E294" s="16" t="n"/>
      <c r="F294" s="14" t="n"/>
    </row>
    <row r="295">
      <c r="A295" s="18" t="n"/>
      <c r="B295" s="14" t="n"/>
      <c r="C295" s="14">
        <f>IF(B295="","",IFERROR(VLOOKUP(B295,Produtos!$A$5:$B$504,2,FALSE),"código não cadastrado"))</f>
        <v/>
      </c>
      <c r="D295" s="14" t="n"/>
      <c r="E295" s="16" t="n"/>
      <c r="F295" s="14" t="n"/>
    </row>
    <row r="296">
      <c r="A296" s="18" t="n"/>
      <c r="B296" s="14" t="n"/>
      <c r="C296" s="14">
        <f>IF(B296="","",IFERROR(VLOOKUP(B296,Produtos!$A$5:$B$504,2,FALSE),"código não cadastrado"))</f>
        <v/>
      </c>
      <c r="D296" s="14" t="n"/>
      <c r="E296" s="16" t="n"/>
      <c r="F296" s="14" t="n"/>
    </row>
    <row r="297">
      <c r="A297" s="18" t="n"/>
      <c r="B297" s="14" t="n"/>
      <c r="C297" s="14">
        <f>IF(B297="","",IFERROR(VLOOKUP(B297,Produtos!$A$5:$B$504,2,FALSE),"código não cadastrado"))</f>
        <v/>
      </c>
      <c r="D297" s="14" t="n"/>
      <c r="E297" s="16" t="n"/>
      <c r="F297" s="14" t="n"/>
    </row>
    <row r="298">
      <c r="A298" s="18" t="n"/>
      <c r="B298" s="14" t="n"/>
      <c r="C298" s="14">
        <f>IF(B298="","",IFERROR(VLOOKUP(B298,Produtos!$A$5:$B$504,2,FALSE),"código não cadastrado"))</f>
        <v/>
      </c>
      <c r="D298" s="14" t="n"/>
      <c r="E298" s="16" t="n"/>
      <c r="F298" s="14" t="n"/>
    </row>
    <row r="299">
      <c r="A299" s="18" t="n"/>
      <c r="B299" s="14" t="n"/>
      <c r="C299" s="14">
        <f>IF(B299="","",IFERROR(VLOOKUP(B299,Produtos!$A$5:$B$504,2,FALSE),"código não cadastrado"))</f>
        <v/>
      </c>
      <c r="D299" s="14" t="n"/>
      <c r="E299" s="16" t="n"/>
      <c r="F299" s="14" t="n"/>
    </row>
    <row r="300">
      <c r="A300" s="18" t="n"/>
      <c r="B300" s="14" t="n"/>
      <c r="C300" s="14">
        <f>IF(B300="","",IFERROR(VLOOKUP(B300,Produtos!$A$5:$B$504,2,FALSE),"código não cadastrado"))</f>
        <v/>
      </c>
      <c r="D300" s="14" t="n"/>
      <c r="E300" s="16" t="n"/>
      <c r="F300" s="14" t="n"/>
    </row>
    <row r="301">
      <c r="A301" s="18" t="n"/>
      <c r="B301" s="14" t="n"/>
      <c r="C301" s="14">
        <f>IF(B301="","",IFERROR(VLOOKUP(B301,Produtos!$A$5:$B$504,2,FALSE),"código não cadastrado"))</f>
        <v/>
      </c>
      <c r="D301" s="14" t="n"/>
      <c r="E301" s="16" t="n"/>
      <c r="F301" s="14" t="n"/>
    </row>
    <row r="302">
      <c r="A302" s="18" t="n"/>
      <c r="B302" s="14" t="n"/>
      <c r="C302" s="14">
        <f>IF(B302="","",IFERROR(VLOOKUP(B302,Produtos!$A$5:$B$504,2,FALSE),"código não cadastrado"))</f>
        <v/>
      </c>
      <c r="D302" s="14" t="n"/>
      <c r="E302" s="16" t="n"/>
      <c r="F302" s="14" t="n"/>
    </row>
    <row r="303">
      <c r="A303" s="18" t="n"/>
      <c r="B303" s="14" t="n"/>
      <c r="C303" s="14">
        <f>IF(B303="","",IFERROR(VLOOKUP(B303,Produtos!$A$5:$B$504,2,FALSE),"código não cadastrado"))</f>
        <v/>
      </c>
      <c r="D303" s="14" t="n"/>
      <c r="E303" s="16" t="n"/>
      <c r="F303" s="14" t="n"/>
    </row>
    <row r="304">
      <c r="A304" s="18" t="n"/>
      <c r="B304" s="14" t="n"/>
      <c r="C304" s="14">
        <f>IF(B304="","",IFERROR(VLOOKUP(B304,Produtos!$A$5:$B$504,2,FALSE),"código não cadastrado"))</f>
        <v/>
      </c>
      <c r="D304" s="14" t="n"/>
      <c r="E304" s="16" t="n"/>
      <c r="F304" s="14" t="n"/>
    </row>
    <row r="305">
      <c r="A305" s="18" t="n"/>
      <c r="B305" s="14" t="n"/>
      <c r="C305" s="14">
        <f>IF(B305="","",IFERROR(VLOOKUP(B305,Produtos!$A$5:$B$504,2,FALSE),"código não cadastrado"))</f>
        <v/>
      </c>
      <c r="D305" s="14" t="n"/>
      <c r="E305" s="16" t="n"/>
      <c r="F305" s="14" t="n"/>
    </row>
    <row r="306">
      <c r="A306" s="18" t="n"/>
      <c r="B306" s="14" t="n"/>
      <c r="C306" s="14">
        <f>IF(B306="","",IFERROR(VLOOKUP(B306,Produtos!$A$5:$B$504,2,FALSE),"código não cadastrado"))</f>
        <v/>
      </c>
      <c r="D306" s="14" t="n"/>
      <c r="E306" s="16" t="n"/>
      <c r="F306" s="14" t="n"/>
    </row>
    <row r="307">
      <c r="A307" s="18" t="n"/>
      <c r="B307" s="14" t="n"/>
      <c r="C307" s="14">
        <f>IF(B307="","",IFERROR(VLOOKUP(B307,Produtos!$A$5:$B$504,2,FALSE),"código não cadastrado"))</f>
        <v/>
      </c>
      <c r="D307" s="14" t="n"/>
      <c r="E307" s="16" t="n"/>
      <c r="F307" s="14" t="n"/>
    </row>
    <row r="308">
      <c r="A308" s="18" t="n"/>
      <c r="B308" s="14" t="n"/>
      <c r="C308" s="14">
        <f>IF(B308="","",IFERROR(VLOOKUP(B308,Produtos!$A$5:$B$504,2,FALSE),"código não cadastrado"))</f>
        <v/>
      </c>
      <c r="D308" s="14" t="n"/>
      <c r="E308" s="16" t="n"/>
      <c r="F308" s="14" t="n"/>
    </row>
    <row r="309">
      <c r="A309" s="18" t="n"/>
      <c r="B309" s="14" t="n"/>
      <c r="C309" s="14">
        <f>IF(B309="","",IFERROR(VLOOKUP(B309,Produtos!$A$5:$B$504,2,FALSE),"código não cadastrado"))</f>
        <v/>
      </c>
      <c r="D309" s="14" t="n"/>
      <c r="E309" s="16" t="n"/>
      <c r="F309" s="14" t="n"/>
    </row>
    <row r="310">
      <c r="A310" s="18" t="n"/>
      <c r="B310" s="14" t="n"/>
      <c r="C310" s="14">
        <f>IF(B310="","",IFERROR(VLOOKUP(B310,Produtos!$A$5:$B$504,2,FALSE),"código não cadastrado"))</f>
        <v/>
      </c>
      <c r="D310" s="14" t="n"/>
      <c r="E310" s="16" t="n"/>
      <c r="F310" s="14" t="n"/>
    </row>
    <row r="311">
      <c r="A311" s="18" t="n"/>
      <c r="B311" s="14" t="n"/>
      <c r="C311" s="14">
        <f>IF(B311="","",IFERROR(VLOOKUP(B311,Produtos!$A$5:$B$504,2,FALSE),"código não cadastrado"))</f>
        <v/>
      </c>
      <c r="D311" s="14" t="n"/>
      <c r="E311" s="16" t="n"/>
      <c r="F311" s="14" t="n"/>
    </row>
    <row r="312">
      <c r="A312" s="18" t="n"/>
      <c r="B312" s="14" t="n"/>
      <c r="C312" s="14">
        <f>IF(B312="","",IFERROR(VLOOKUP(B312,Produtos!$A$5:$B$504,2,FALSE),"código não cadastrado"))</f>
        <v/>
      </c>
      <c r="D312" s="14" t="n"/>
      <c r="E312" s="16" t="n"/>
      <c r="F312" s="14" t="n"/>
    </row>
    <row r="313">
      <c r="A313" s="18" t="n"/>
      <c r="B313" s="14" t="n"/>
      <c r="C313" s="14">
        <f>IF(B313="","",IFERROR(VLOOKUP(B313,Produtos!$A$5:$B$504,2,FALSE),"código não cadastrado"))</f>
        <v/>
      </c>
      <c r="D313" s="14" t="n"/>
      <c r="E313" s="16" t="n"/>
      <c r="F313" s="14" t="n"/>
    </row>
    <row r="314">
      <c r="A314" s="18" t="n"/>
      <c r="B314" s="14" t="n"/>
      <c r="C314" s="14">
        <f>IF(B314="","",IFERROR(VLOOKUP(B314,Produtos!$A$5:$B$504,2,FALSE),"código não cadastrado"))</f>
        <v/>
      </c>
      <c r="D314" s="14" t="n"/>
      <c r="E314" s="16" t="n"/>
      <c r="F314" s="14" t="n"/>
    </row>
    <row r="315">
      <c r="A315" s="18" t="n"/>
      <c r="B315" s="14" t="n"/>
      <c r="C315" s="14">
        <f>IF(B315="","",IFERROR(VLOOKUP(B315,Produtos!$A$5:$B$504,2,FALSE),"código não cadastrado"))</f>
        <v/>
      </c>
      <c r="D315" s="14" t="n"/>
      <c r="E315" s="16" t="n"/>
      <c r="F315" s="14" t="n"/>
    </row>
    <row r="316">
      <c r="A316" s="18" t="n"/>
      <c r="B316" s="14" t="n"/>
      <c r="C316" s="14">
        <f>IF(B316="","",IFERROR(VLOOKUP(B316,Produtos!$A$5:$B$504,2,FALSE),"código não cadastrado"))</f>
        <v/>
      </c>
      <c r="D316" s="14" t="n"/>
      <c r="E316" s="16" t="n"/>
      <c r="F316" s="14" t="n"/>
    </row>
    <row r="317">
      <c r="A317" s="18" t="n"/>
      <c r="B317" s="14" t="n"/>
      <c r="C317" s="14">
        <f>IF(B317="","",IFERROR(VLOOKUP(B317,Produtos!$A$5:$B$504,2,FALSE),"código não cadastrado"))</f>
        <v/>
      </c>
      <c r="D317" s="14" t="n"/>
      <c r="E317" s="16" t="n"/>
      <c r="F317" s="14" t="n"/>
    </row>
    <row r="318">
      <c r="A318" s="18" t="n"/>
      <c r="B318" s="14" t="n"/>
      <c r="C318" s="14">
        <f>IF(B318="","",IFERROR(VLOOKUP(B318,Produtos!$A$5:$B$504,2,FALSE),"código não cadastrado"))</f>
        <v/>
      </c>
      <c r="D318" s="14" t="n"/>
      <c r="E318" s="16" t="n"/>
      <c r="F318" s="14" t="n"/>
    </row>
    <row r="319">
      <c r="A319" s="18" t="n"/>
      <c r="B319" s="14" t="n"/>
      <c r="C319" s="14">
        <f>IF(B319="","",IFERROR(VLOOKUP(B319,Produtos!$A$5:$B$504,2,FALSE),"código não cadastrado"))</f>
        <v/>
      </c>
      <c r="D319" s="14" t="n"/>
      <c r="E319" s="16" t="n"/>
      <c r="F319" s="14" t="n"/>
    </row>
    <row r="320">
      <c r="A320" s="18" t="n"/>
      <c r="B320" s="14" t="n"/>
      <c r="C320" s="14">
        <f>IF(B320="","",IFERROR(VLOOKUP(B320,Produtos!$A$5:$B$504,2,FALSE),"código não cadastrado"))</f>
        <v/>
      </c>
      <c r="D320" s="14" t="n"/>
      <c r="E320" s="16" t="n"/>
      <c r="F320" s="14" t="n"/>
    </row>
    <row r="321">
      <c r="A321" s="18" t="n"/>
      <c r="B321" s="14" t="n"/>
      <c r="C321" s="14">
        <f>IF(B321="","",IFERROR(VLOOKUP(B321,Produtos!$A$5:$B$504,2,FALSE),"código não cadastrado"))</f>
        <v/>
      </c>
      <c r="D321" s="14" t="n"/>
      <c r="E321" s="16" t="n"/>
      <c r="F321" s="14" t="n"/>
    </row>
    <row r="322">
      <c r="A322" s="18" t="n"/>
      <c r="B322" s="14" t="n"/>
      <c r="C322" s="14">
        <f>IF(B322="","",IFERROR(VLOOKUP(B322,Produtos!$A$5:$B$504,2,FALSE),"código não cadastrado"))</f>
        <v/>
      </c>
      <c r="D322" s="14" t="n"/>
      <c r="E322" s="16" t="n"/>
      <c r="F322" s="14" t="n"/>
    </row>
    <row r="323">
      <c r="A323" s="18" t="n"/>
      <c r="B323" s="14" t="n"/>
      <c r="C323" s="14">
        <f>IF(B323="","",IFERROR(VLOOKUP(B323,Produtos!$A$5:$B$504,2,FALSE),"código não cadastrado"))</f>
        <v/>
      </c>
      <c r="D323" s="14" t="n"/>
      <c r="E323" s="16" t="n"/>
      <c r="F323" s="14" t="n"/>
    </row>
    <row r="324">
      <c r="A324" s="18" t="n"/>
      <c r="B324" s="14" t="n"/>
      <c r="C324" s="14">
        <f>IF(B324="","",IFERROR(VLOOKUP(B324,Produtos!$A$5:$B$504,2,FALSE),"código não cadastrado"))</f>
        <v/>
      </c>
      <c r="D324" s="14" t="n"/>
      <c r="E324" s="16" t="n"/>
      <c r="F324" s="14" t="n"/>
    </row>
    <row r="325">
      <c r="A325" s="18" t="n"/>
      <c r="B325" s="14" t="n"/>
      <c r="C325" s="14">
        <f>IF(B325="","",IFERROR(VLOOKUP(B325,Produtos!$A$5:$B$504,2,FALSE),"código não cadastrado"))</f>
        <v/>
      </c>
      <c r="D325" s="14" t="n"/>
      <c r="E325" s="16" t="n"/>
      <c r="F325" s="14" t="n"/>
    </row>
    <row r="326">
      <c r="A326" s="18" t="n"/>
      <c r="B326" s="14" t="n"/>
      <c r="C326" s="14">
        <f>IF(B326="","",IFERROR(VLOOKUP(B326,Produtos!$A$5:$B$504,2,FALSE),"código não cadastrado"))</f>
        <v/>
      </c>
      <c r="D326" s="14" t="n"/>
      <c r="E326" s="16" t="n"/>
      <c r="F326" s="14" t="n"/>
    </row>
    <row r="327">
      <c r="A327" s="18" t="n"/>
      <c r="B327" s="14" t="n"/>
      <c r="C327" s="14">
        <f>IF(B327="","",IFERROR(VLOOKUP(B327,Produtos!$A$5:$B$504,2,FALSE),"código não cadastrado"))</f>
        <v/>
      </c>
      <c r="D327" s="14" t="n"/>
      <c r="E327" s="16" t="n"/>
      <c r="F327" s="14" t="n"/>
    </row>
    <row r="328">
      <c r="A328" s="18" t="n"/>
      <c r="B328" s="14" t="n"/>
      <c r="C328" s="14">
        <f>IF(B328="","",IFERROR(VLOOKUP(B328,Produtos!$A$5:$B$504,2,FALSE),"código não cadastrado"))</f>
        <v/>
      </c>
      <c r="D328" s="14" t="n"/>
      <c r="E328" s="16" t="n"/>
      <c r="F328" s="14" t="n"/>
    </row>
    <row r="329">
      <c r="A329" s="18" t="n"/>
      <c r="B329" s="14" t="n"/>
      <c r="C329" s="14">
        <f>IF(B329="","",IFERROR(VLOOKUP(B329,Produtos!$A$5:$B$504,2,FALSE),"código não cadastrado"))</f>
        <v/>
      </c>
      <c r="D329" s="14" t="n"/>
      <c r="E329" s="16" t="n"/>
      <c r="F329" s="14" t="n"/>
    </row>
    <row r="330">
      <c r="A330" s="18" t="n"/>
      <c r="B330" s="14" t="n"/>
      <c r="C330" s="14">
        <f>IF(B330="","",IFERROR(VLOOKUP(B330,Produtos!$A$5:$B$504,2,FALSE),"código não cadastrado"))</f>
        <v/>
      </c>
      <c r="D330" s="14" t="n"/>
      <c r="E330" s="16" t="n"/>
      <c r="F330" s="14" t="n"/>
    </row>
    <row r="331">
      <c r="A331" s="18" t="n"/>
      <c r="B331" s="14" t="n"/>
      <c r="C331" s="14">
        <f>IF(B331="","",IFERROR(VLOOKUP(B331,Produtos!$A$5:$B$504,2,FALSE),"código não cadastrado"))</f>
        <v/>
      </c>
      <c r="D331" s="14" t="n"/>
      <c r="E331" s="16" t="n"/>
      <c r="F331" s="14" t="n"/>
    </row>
    <row r="332">
      <c r="A332" s="18" t="n"/>
      <c r="B332" s="14" t="n"/>
      <c r="C332" s="14">
        <f>IF(B332="","",IFERROR(VLOOKUP(B332,Produtos!$A$5:$B$504,2,FALSE),"código não cadastrado"))</f>
        <v/>
      </c>
      <c r="D332" s="14" t="n"/>
      <c r="E332" s="16" t="n"/>
      <c r="F332" s="14" t="n"/>
    </row>
    <row r="333">
      <c r="A333" s="18" t="n"/>
      <c r="B333" s="14" t="n"/>
      <c r="C333" s="14">
        <f>IF(B333="","",IFERROR(VLOOKUP(B333,Produtos!$A$5:$B$504,2,FALSE),"código não cadastrado"))</f>
        <v/>
      </c>
      <c r="D333" s="14" t="n"/>
      <c r="E333" s="16" t="n"/>
      <c r="F333" s="14" t="n"/>
    </row>
    <row r="334">
      <c r="A334" s="18" t="n"/>
      <c r="B334" s="14" t="n"/>
      <c r="C334" s="14">
        <f>IF(B334="","",IFERROR(VLOOKUP(B334,Produtos!$A$5:$B$504,2,FALSE),"código não cadastrado"))</f>
        <v/>
      </c>
      <c r="D334" s="14" t="n"/>
      <c r="E334" s="16" t="n"/>
      <c r="F334" s="14" t="n"/>
    </row>
    <row r="335">
      <c r="A335" s="18" t="n"/>
      <c r="B335" s="14" t="n"/>
      <c r="C335" s="14">
        <f>IF(B335="","",IFERROR(VLOOKUP(B335,Produtos!$A$5:$B$504,2,FALSE),"código não cadastrado"))</f>
        <v/>
      </c>
      <c r="D335" s="14" t="n"/>
      <c r="E335" s="16" t="n"/>
      <c r="F335" s="14" t="n"/>
    </row>
    <row r="336">
      <c r="A336" s="18" t="n"/>
      <c r="B336" s="14" t="n"/>
      <c r="C336" s="14">
        <f>IF(B336="","",IFERROR(VLOOKUP(B336,Produtos!$A$5:$B$504,2,FALSE),"código não cadastrado"))</f>
        <v/>
      </c>
      <c r="D336" s="14" t="n"/>
      <c r="E336" s="16" t="n"/>
      <c r="F336" s="14" t="n"/>
    </row>
    <row r="337">
      <c r="A337" s="18" t="n"/>
      <c r="B337" s="14" t="n"/>
      <c r="C337" s="14">
        <f>IF(B337="","",IFERROR(VLOOKUP(B337,Produtos!$A$5:$B$504,2,FALSE),"código não cadastrado"))</f>
        <v/>
      </c>
      <c r="D337" s="14" t="n"/>
      <c r="E337" s="16" t="n"/>
      <c r="F337" s="14" t="n"/>
    </row>
    <row r="338">
      <c r="A338" s="18" t="n"/>
      <c r="B338" s="14" t="n"/>
      <c r="C338" s="14">
        <f>IF(B338="","",IFERROR(VLOOKUP(B338,Produtos!$A$5:$B$504,2,FALSE),"código não cadastrado"))</f>
        <v/>
      </c>
      <c r="D338" s="14" t="n"/>
      <c r="E338" s="16" t="n"/>
      <c r="F338" s="14" t="n"/>
    </row>
    <row r="339">
      <c r="A339" s="18" t="n"/>
      <c r="B339" s="14" t="n"/>
      <c r="C339" s="14">
        <f>IF(B339="","",IFERROR(VLOOKUP(B339,Produtos!$A$5:$B$504,2,FALSE),"código não cadastrado"))</f>
        <v/>
      </c>
      <c r="D339" s="14" t="n"/>
      <c r="E339" s="16" t="n"/>
      <c r="F339" s="14" t="n"/>
    </row>
    <row r="340">
      <c r="A340" s="18" t="n"/>
      <c r="B340" s="14" t="n"/>
      <c r="C340" s="14">
        <f>IF(B340="","",IFERROR(VLOOKUP(B340,Produtos!$A$5:$B$504,2,FALSE),"código não cadastrado"))</f>
        <v/>
      </c>
      <c r="D340" s="14" t="n"/>
      <c r="E340" s="16" t="n"/>
      <c r="F340" s="14" t="n"/>
    </row>
    <row r="341">
      <c r="A341" s="18" t="n"/>
      <c r="B341" s="14" t="n"/>
      <c r="C341" s="14">
        <f>IF(B341="","",IFERROR(VLOOKUP(B341,Produtos!$A$5:$B$504,2,FALSE),"código não cadastrado"))</f>
        <v/>
      </c>
      <c r="D341" s="14" t="n"/>
      <c r="E341" s="16" t="n"/>
      <c r="F341" s="14" t="n"/>
    </row>
    <row r="342">
      <c r="A342" s="18" t="n"/>
      <c r="B342" s="14" t="n"/>
      <c r="C342" s="14">
        <f>IF(B342="","",IFERROR(VLOOKUP(B342,Produtos!$A$5:$B$504,2,FALSE),"código não cadastrado"))</f>
        <v/>
      </c>
      <c r="D342" s="14" t="n"/>
      <c r="E342" s="16" t="n"/>
      <c r="F342" s="14" t="n"/>
    </row>
    <row r="343">
      <c r="A343" s="18" t="n"/>
      <c r="B343" s="14" t="n"/>
      <c r="C343" s="14">
        <f>IF(B343="","",IFERROR(VLOOKUP(B343,Produtos!$A$5:$B$504,2,FALSE),"código não cadastrado"))</f>
        <v/>
      </c>
      <c r="D343" s="14" t="n"/>
      <c r="E343" s="16" t="n"/>
      <c r="F343" s="14" t="n"/>
    </row>
    <row r="344">
      <c r="A344" s="18" t="n"/>
      <c r="B344" s="14" t="n"/>
      <c r="C344" s="14">
        <f>IF(B344="","",IFERROR(VLOOKUP(B344,Produtos!$A$5:$B$504,2,FALSE),"código não cadastrado"))</f>
        <v/>
      </c>
      <c r="D344" s="14" t="n"/>
      <c r="E344" s="16" t="n"/>
      <c r="F344" s="14" t="n"/>
    </row>
    <row r="345">
      <c r="A345" s="18" t="n"/>
      <c r="B345" s="14" t="n"/>
      <c r="C345" s="14">
        <f>IF(B345="","",IFERROR(VLOOKUP(B345,Produtos!$A$5:$B$504,2,FALSE),"código não cadastrado"))</f>
        <v/>
      </c>
      <c r="D345" s="14" t="n"/>
      <c r="E345" s="16" t="n"/>
      <c r="F345" s="14" t="n"/>
    </row>
    <row r="346">
      <c r="A346" s="18" t="n"/>
      <c r="B346" s="14" t="n"/>
      <c r="C346" s="14">
        <f>IF(B346="","",IFERROR(VLOOKUP(B346,Produtos!$A$5:$B$504,2,FALSE),"código não cadastrado"))</f>
        <v/>
      </c>
      <c r="D346" s="14" t="n"/>
      <c r="E346" s="16" t="n"/>
      <c r="F346" s="14" t="n"/>
    </row>
    <row r="347">
      <c r="A347" s="18" t="n"/>
      <c r="B347" s="14" t="n"/>
      <c r="C347" s="14">
        <f>IF(B347="","",IFERROR(VLOOKUP(B347,Produtos!$A$5:$B$504,2,FALSE),"código não cadastrado"))</f>
        <v/>
      </c>
      <c r="D347" s="14" t="n"/>
      <c r="E347" s="16" t="n"/>
      <c r="F347" s="14" t="n"/>
    </row>
    <row r="348">
      <c r="A348" s="18" t="n"/>
      <c r="B348" s="14" t="n"/>
      <c r="C348" s="14">
        <f>IF(B348="","",IFERROR(VLOOKUP(B348,Produtos!$A$5:$B$504,2,FALSE),"código não cadastrado"))</f>
        <v/>
      </c>
      <c r="D348" s="14" t="n"/>
      <c r="E348" s="16" t="n"/>
      <c r="F348" s="14" t="n"/>
    </row>
    <row r="349">
      <c r="A349" s="18" t="n"/>
      <c r="B349" s="14" t="n"/>
      <c r="C349" s="14">
        <f>IF(B349="","",IFERROR(VLOOKUP(B349,Produtos!$A$5:$B$504,2,FALSE),"código não cadastrado"))</f>
        <v/>
      </c>
      <c r="D349" s="14" t="n"/>
      <c r="E349" s="16" t="n"/>
      <c r="F349" s="14" t="n"/>
    </row>
    <row r="350">
      <c r="A350" s="18" t="n"/>
      <c r="B350" s="14" t="n"/>
      <c r="C350" s="14">
        <f>IF(B350="","",IFERROR(VLOOKUP(B350,Produtos!$A$5:$B$504,2,FALSE),"código não cadastrado"))</f>
        <v/>
      </c>
      <c r="D350" s="14" t="n"/>
      <c r="E350" s="16" t="n"/>
      <c r="F350" s="14" t="n"/>
    </row>
    <row r="351">
      <c r="A351" s="18" t="n"/>
      <c r="B351" s="14" t="n"/>
      <c r="C351" s="14">
        <f>IF(B351="","",IFERROR(VLOOKUP(B351,Produtos!$A$5:$B$504,2,FALSE),"código não cadastrado"))</f>
        <v/>
      </c>
      <c r="D351" s="14" t="n"/>
      <c r="E351" s="16" t="n"/>
      <c r="F351" s="14" t="n"/>
    </row>
    <row r="352">
      <c r="A352" s="18" t="n"/>
      <c r="B352" s="14" t="n"/>
      <c r="C352" s="14">
        <f>IF(B352="","",IFERROR(VLOOKUP(B352,Produtos!$A$5:$B$504,2,FALSE),"código não cadastrado"))</f>
        <v/>
      </c>
      <c r="D352" s="14" t="n"/>
      <c r="E352" s="16" t="n"/>
      <c r="F352" s="14" t="n"/>
    </row>
    <row r="353">
      <c r="A353" s="18" t="n"/>
      <c r="B353" s="14" t="n"/>
      <c r="C353" s="14">
        <f>IF(B353="","",IFERROR(VLOOKUP(B353,Produtos!$A$5:$B$504,2,FALSE),"código não cadastrado"))</f>
        <v/>
      </c>
      <c r="D353" s="14" t="n"/>
      <c r="E353" s="16" t="n"/>
      <c r="F353" s="14" t="n"/>
    </row>
    <row r="354">
      <c r="A354" s="18" t="n"/>
      <c r="B354" s="14" t="n"/>
      <c r="C354" s="14">
        <f>IF(B354="","",IFERROR(VLOOKUP(B354,Produtos!$A$5:$B$504,2,FALSE),"código não cadastrado"))</f>
        <v/>
      </c>
      <c r="D354" s="14" t="n"/>
      <c r="E354" s="16" t="n"/>
      <c r="F354" s="14" t="n"/>
    </row>
    <row r="355">
      <c r="A355" s="18" t="n"/>
      <c r="B355" s="14" t="n"/>
      <c r="C355" s="14">
        <f>IF(B355="","",IFERROR(VLOOKUP(B355,Produtos!$A$5:$B$504,2,FALSE),"código não cadastrado"))</f>
        <v/>
      </c>
      <c r="D355" s="14" t="n"/>
      <c r="E355" s="16" t="n"/>
      <c r="F355" s="14" t="n"/>
    </row>
    <row r="356">
      <c r="A356" s="18" t="n"/>
      <c r="B356" s="14" t="n"/>
      <c r="C356" s="14">
        <f>IF(B356="","",IFERROR(VLOOKUP(B356,Produtos!$A$5:$B$504,2,FALSE),"código não cadastrado"))</f>
        <v/>
      </c>
      <c r="D356" s="14" t="n"/>
      <c r="E356" s="16" t="n"/>
      <c r="F356" s="14" t="n"/>
    </row>
    <row r="357">
      <c r="A357" s="18" t="n"/>
      <c r="B357" s="14" t="n"/>
      <c r="C357" s="14">
        <f>IF(B357="","",IFERROR(VLOOKUP(B357,Produtos!$A$5:$B$504,2,FALSE),"código não cadastrado"))</f>
        <v/>
      </c>
      <c r="D357" s="14" t="n"/>
      <c r="E357" s="16" t="n"/>
      <c r="F357" s="14" t="n"/>
    </row>
    <row r="358">
      <c r="A358" s="18" t="n"/>
      <c r="B358" s="14" t="n"/>
      <c r="C358" s="14">
        <f>IF(B358="","",IFERROR(VLOOKUP(B358,Produtos!$A$5:$B$504,2,FALSE),"código não cadastrado"))</f>
        <v/>
      </c>
      <c r="D358" s="14" t="n"/>
      <c r="E358" s="16" t="n"/>
      <c r="F358" s="14" t="n"/>
    </row>
    <row r="359">
      <c r="A359" s="18" t="n"/>
      <c r="B359" s="14" t="n"/>
      <c r="C359" s="14">
        <f>IF(B359="","",IFERROR(VLOOKUP(B359,Produtos!$A$5:$B$504,2,FALSE),"código não cadastrado"))</f>
        <v/>
      </c>
      <c r="D359" s="14" t="n"/>
      <c r="E359" s="16" t="n"/>
      <c r="F359" s="14" t="n"/>
    </row>
    <row r="360">
      <c r="A360" s="18" t="n"/>
      <c r="B360" s="14" t="n"/>
      <c r="C360" s="14">
        <f>IF(B360="","",IFERROR(VLOOKUP(B360,Produtos!$A$5:$B$504,2,FALSE),"código não cadastrado"))</f>
        <v/>
      </c>
      <c r="D360" s="14" t="n"/>
      <c r="E360" s="16" t="n"/>
      <c r="F360" s="14" t="n"/>
    </row>
    <row r="361">
      <c r="A361" s="18" t="n"/>
      <c r="B361" s="14" t="n"/>
      <c r="C361" s="14">
        <f>IF(B361="","",IFERROR(VLOOKUP(B361,Produtos!$A$5:$B$504,2,FALSE),"código não cadastrado"))</f>
        <v/>
      </c>
      <c r="D361" s="14" t="n"/>
      <c r="E361" s="16" t="n"/>
      <c r="F361" s="14" t="n"/>
    </row>
    <row r="362">
      <c r="A362" s="18" t="n"/>
      <c r="B362" s="14" t="n"/>
      <c r="C362" s="14">
        <f>IF(B362="","",IFERROR(VLOOKUP(B362,Produtos!$A$5:$B$504,2,FALSE),"código não cadastrado"))</f>
        <v/>
      </c>
      <c r="D362" s="14" t="n"/>
      <c r="E362" s="16" t="n"/>
      <c r="F362" s="14" t="n"/>
    </row>
    <row r="363">
      <c r="A363" s="18" t="n"/>
      <c r="B363" s="14" t="n"/>
      <c r="C363" s="14">
        <f>IF(B363="","",IFERROR(VLOOKUP(B363,Produtos!$A$5:$B$504,2,FALSE),"código não cadastrado"))</f>
        <v/>
      </c>
      <c r="D363" s="14" t="n"/>
      <c r="E363" s="16" t="n"/>
      <c r="F363" s="14" t="n"/>
    </row>
    <row r="364">
      <c r="A364" s="18" t="n"/>
      <c r="B364" s="14" t="n"/>
      <c r="C364" s="14">
        <f>IF(B364="","",IFERROR(VLOOKUP(B364,Produtos!$A$5:$B$504,2,FALSE),"código não cadastrado"))</f>
        <v/>
      </c>
      <c r="D364" s="14" t="n"/>
      <c r="E364" s="16" t="n"/>
      <c r="F364" s="14" t="n"/>
    </row>
    <row r="365">
      <c r="A365" s="18" t="n"/>
      <c r="B365" s="14" t="n"/>
      <c r="C365" s="14">
        <f>IF(B365="","",IFERROR(VLOOKUP(B365,Produtos!$A$5:$B$504,2,FALSE),"código não cadastrado"))</f>
        <v/>
      </c>
      <c r="D365" s="14" t="n"/>
      <c r="E365" s="16" t="n"/>
      <c r="F365" s="14" t="n"/>
    </row>
    <row r="366">
      <c r="A366" s="18" t="n"/>
      <c r="B366" s="14" t="n"/>
      <c r="C366" s="14">
        <f>IF(B366="","",IFERROR(VLOOKUP(B366,Produtos!$A$5:$B$504,2,FALSE),"código não cadastrado"))</f>
        <v/>
      </c>
      <c r="D366" s="14" t="n"/>
      <c r="E366" s="16" t="n"/>
      <c r="F366" s="14" t="n"/>
    </row>
    <row r="367">
      <c r="A367" s="18" t="n"/>
      <c r="B367" s="14" t="n"/>
      <c r="C367" s="14">
        <f>IF(B367="","",IFERROR(VLOOKUP(B367,Produtos!$A$5:$B$504,2,FALSE),"código não cadastrado"))</f>
        <v/>
      </c>
      <c r="D367" s="14" t="n"/>
      <c r="E367" s="16" t="n"/>
      <c r="F367" s="14" t="n"/>
    </row>
    <row r="368">
      <c r="A368" s="18" t="n"/>
      <c r="B368" s="14" t="n"/>
      <c r="C368" s="14">
        <f>IF(B368="","",IFERROR(VLOOKUP(B368,Produtos!$A$5:$B$504,2,FALSE),"código não cadastrado"))</f>
        <v/>
      </c>
      <c r="D368" s="14" t="n"/>
      <c r="E368" s="16" t="n"/>
      <c r="F368" s="14" t="n"/>
    </row>
    <row r="369">
      <c r="A369" s="18" t="n"/>
      <c r="B369" s="14" t="n"/>
      <c r="C369" s="14">
        <f>IF(B369="","",IFERROR(VLOOKUP(B369,Produtos!$A$5:$B$504,2,FALSE),"código não cadastrado"))</f>
        <v/>
      </c>
      <c r="D369" s="14" t="n"/>
      <c r="E369" s="16" t="n"/>
      <c r="F369" s="14" t="n"/>
    </row>
    <row r="370">
      <c r="A370" s="18" t="n"/>
      <c r="B370" s="14" t="n"/>
      <c r="C370" s="14">
        <f>IF(B370="","",IFERROR(VLOOKUP(B370,Produtos!$A$5:$B$504,2,FALSE),"código não cadastrado"))</f>
        <v/>
      </c>
      <c r="D370" s="14" t="n"/>
      <c r="E370" s="16" t="n"/>
      <c r="F370" s="14" t="n"/>
    </row>
    <row r="371">
      <c r="A371" s="18" t="n"/>
      <c r="B371" s="14" t="n"/>
      <c r="C371" s="14">
        <f>IF(B371="","",IFERROR(VLOOKUP(B371,Produtos!$A$5:$B$504,2,FALSE),"código não cadastrado"))</f>
        <v/>
      </c>
      <c r="D371" s="14" t="n"/>
      <c r="E371" s="16" t="n"/>
      <c r="F371" s="14" t="n"/>
    </row>
    <row r="372">
      <c r="A372" s="18" t="n"/>
      <c r="B372" s="14" t="n"/>
      <c r="C372" s="14">
        <f>IF(B372="","",IFERROR(VLOOKUP(B372,Produtos!$A$5:$B$504,2,FALSE),"código não cadastrado"))</f>
        <v/>
      </c>
      <c r="D372" s="14" t="n"/>
      <c r="E372" s="16" t="n"/>
      <c r="F372" s="14" t="n"/>
    </row>
    <row r="373">
      <c r="A373" s="18" t="n"/>
      <c r="B373" s="14" t="n"/>
      <c r="C373" s="14">
        <f>IF(B373="","",IFERROR(VLOOKUP(B373,Produtos!$A$5:$B$504,2,FALSE),"código não cadastrado"))</f>
        <v/>
      </c>
      <c r="D373" s="14" t="n"/>
      <c r="E373" s="16" t="n"/>
      <c r="F373" s="14" t="n"/>
    </row>
    <row r="374">
      <c r="A374" s="18" t="n"/>
      <c r="B374" s="14" t="n"/>
      <c r="C374" s="14">
        <f>IF(B374="","",IFERROR(VLOOKUP(B374,Produtos!$A$5:$B$504,2,FALSE),"código não cadastrado"))</f>
        <v/>
      </c>
      <c r="D374" s="14" t="n"/>
      <c r="E374" s="16" t="n"/>
      <c r="F374" s="14" t="n"/>
    </row>
    <row r="375">
      <c r="A375" s="18" t="n"/>
      <c r="B375" s="14" t="n"/>
      <c r="C375" s="14">
        <f>IF(B375="","",IFERROR(VLOOKUP(B375,Produtos!$A$5:$B$504,2,FALSE),"código não cadastrado"))</f>
        <v/>
      </c>
      <c r="D375" s="14" t="n"/>
      <c r="E375" s="16" t="n"/>
      <c r="F375" s="14" t="n"/>
    </row>
    <row r="376">
      <c r="A376" s="18" t="n"/>
      <c r="B376" s="14" t="n"/>
      <c r="C376" s="14">
        <f>IF(B376="","",IFERROR(VLOOKUP(B376,Produtos!$A$5:$B$504,2,FALSE),"código não cadastrado"))</f>
        <v/>
      </c>
      <c r="D376" s="14" t="n"/>
      <c r="E376" s="16" t="n"/>
      <c r="F376" s="14" t="n"/>
    </row>
    <row r="377">
      <c r="A377" s="18" t="n"/>
      <c r="B377" s="14" t="n"/>
      <c r="C377" s="14">
        <f>IF(B377="","",IFERROR(VLOOKUP(B377,Produtos!$A$5:$B$504,2,FALSE),"código não cadastrado"))</f>
        <v/>
      </c>
      <c r="D377" s="14" t="n"/>
      <c r="E377" s="16" t="n"/>
      <c r="F377" s="14" t="n"/>
    </row>
    <row r="378">
      <c r="A378" s="18" t="n"/>
      <c r="B378" s="14" t="n"/>
      <c r="C378" s="14">
        <f>IF(B378="","",IFERROR(VLOOKUP(B378,Produtos!$A$5:$B$504,2,FALSE),"código não cadastrado"))</f>
        <v/>
      </c>
      <c r="D378" s="14" t="n"/>
      <c r="E378" s="16" t="n"/>
      <c r="F378" s="14" t="n"/>
    </row>
    <row r="379">
      <c r="A379" s="18" t="n"/>
      <c r="B379" s="14" t="n"/>
      <c r="C379" s="14">
        <f>IF(B379="","",IFERROR(VLOOKUP(B379,Produtos!$A$5:$B$504,2,FALSE),"código não cadastrado"))</f>
        <v/>
      </c>
      <c r="D379" s="14" t="n"/>
      <c r="E379" s="16" t="n"/>
      <c r="F379" s="14" t="n"/>
    </row>
    <row r="380">
      <c r="A380" s="18" t="n"/>
      <c r="B380" s="14" t="n"/>
      <c r="C380" s="14">
        <f>IF(B380="","",IFERROR(VLOOKUP(B380,Produtos!$A$5:$B$504,2,FALSE),"código não cadastrado"))</f>
        <v/>
      </c>
      <c r="D380" s="14" t="n"/>
      <c r="E380" s="16" t="n"/>
      <c r="F380" s="14" t="n"/>
    </row>
    <row r="381">
      <c r="A381" s="18" t="n"/>
      <c r="B381" s="14" t="n"/>
      <c r="C381" s="14">
        <f>IF(B381="","",IFERROR(VLOOKUP(B381,Produtos!$A$5:$B$504,2,FALSE),"código não cadastrado"))</f>
        <v/>
      </c>
      <c r="D381" s="14" t="n"/>
      <c r="E381" s="16" t="n"/>
      <c r="F381" s="14" t="n"/>
    </row>
    <row r="382">
      <c r="A382" s="18" t="n"/>
      <c r="B382" s="14" t="n"/>
      <c r="C382" s="14">
        <f>IF(B382="","",IFERROR(VLOOKUP(B382,Produtos!$A$5:$B$504,2,FALSE),"código não cadastrado"))</f>
        <v/>
      </c>
      <c r="D382" s="14" t="n"/>
      <c r="E382" s="16" t="n"/>
      <c r="F382" s="14" t="n"/>
    </row>
    <row r="383">
      <c r="A383" s="18" t="n"/>
      <c r="B383" s="14" t="n"/>
      <c r="C383" s="14">
        <f>IF(B383="","",IFERROR(VLOOKUP(B383,Produtos!$A$5:$B$504,2,FALSE),"código não cadastrado"))</f>
        <v/>
      </c>
      <c r="D383" s="14" t="n"/>
      <c r="E383" s="16" t="n"/>
      <c r="F383" s="14" t="n"/>
    </row>
    <row r="384">
      <c r="A384" s="18" t="n"/>
      <c r="B384" s="14" t="n"/>
      <c r="C384" s="14">
        <f>IF(B384="","",IFERROR(VLOOKUP(B384,Produtos!$A$5:$B$504,2,FALSE),"código não cadastrado"))</f>
        <v/>
      </c>
      <c r="D384" s="14" t="n"/>
      <c r="E384" s="16" t="n"/>
      <c r="F384" s="14" t="n"/>
    </row>
    <row r="385">
      <c r="A385" s="18" t="n"/>
      <c r="B385" s="14" t="n"/>
      <c r="C385" s="14">
        <f>IF(B385="","",IFERROR(VLOOKUP(B385,Produtos!$A$5:$B$504,2,FALSE),"código não cadastrado"))</f>
        <v/>
      </c>
      <c r="D385" s="14" t="n"/>
      <c r="E385" s="16" t="n"/>
      <c r="F385" s="14" t="n"/>
    </row>
    <row r="386">
      <c r="A386" s="18" t="n"/>
      <c r="B386" s="14" t="n"/>
      <c r="C386" s="14">
        <f>IF(B386="","",IFERROR(VLOOKUP(B386,Produtos!$A$5:$B$504,2,FALSE),"código não cadastrado"))</f>
        <v/>
      </c>
      <c r="D386" s="14" t="n"/>
      <c r="E386" s="16" t="n"/>
      <c r="F386" s="14" t="n"/>
    </row>
    <row r="387">
      <c r="A387" s="18" t="n"/>
      <c r="B387" s="14" t="n"/>
      <c r="C387" s="14">
        <f>IF(B387="","",IFERROR(VLOOKUP(B387,Produtos!$A$5:$B$504,2,FALSE),"código não cadastrado"))</f>
        <v/>
      </c>
      <c r="D387" s="14" t="n"/>
      <c r="E387" s="16" t="n"/>
      <c r="F387" s="14" t="n"/>
    </row>
    <row r="388">
      <c r="A388" s="18" t="n"/>
      <c r="B388" s="14" t="n"/>
      <c r="C388" s="14">
        <f>IF(B388="","",IFERROR(VLOOKUP(B388,Produtos!$A$5:$B$504,2,FALSE),"código não cadastrado"))</f>
        <v/>
      </c>
      <c r="D388" s="14" t="n"/>
      <c r="E388" s="16" t="n"/>
      <c r="F388" s="14" t="n"/>
    </row>
    <row r="389">
      <c r="A389" s="18" t="n"/>
      <c r="B389" s="14" t="n"/>
      <c r="C389" s="14">
        <f>IF(B389="","",IFERROR(VLOOKUP(B389,Produtos!$A$5:$B$504,2,FALSE),"código não cadastrado"))</f>
        <v/>
      </c>
      <c r="D389" s="14" t="n"/>
      <c r="E389" s="16" t="n"/>
      <c r="F389" s="14" t="n"/>
    </row>
    <row r="390">
      <c r="A390" s="18" t="n"/>
      <c r="B390" s="14" t="n"/>
      <c r="C390" s="14">
        <f>IF(B390="","",IFERROR(VLOOKUP(B390,Produtos!$A$5:$B$504,2,FALSE),"código não cadastrado"))</f>
        <v/>
      </c>
      <c r="D390" s="14" t="n"/>
      <c r="E390" s="16" t="n"/>
      <c r="F390" s="14" t="n"/>
    </row>
    <row r="391">
      <c r="A391" s="18" t="n"/>
      <c r="B391" s="14" t="n"/>
      <c r="C391" s="14">
        <f>IF(B391="","",IFERROR(VLOOKUP(B391,Produtos!$A$5:$B$504,2,FALSE),"código não cadastrado"))</f>
        <v/>
      </c>
      <c r="D391" s="14" t="n"/>
      <c r="E391" s="16" t="n"/>
      <c r="F391" s="14" t="n"/>
    </row>
    <row r="392">
      <c r="A392" s="18" t="n"/>
      <c r="B392" s="14" t="n"/>
      <c r="C392" s="14">
        <f>IF(B392="","",IFERROR(VLOOKUP(B392,Produtos!$A$5:$B$504,2,FALSE),"código não cadastrado"))</f>
        <v/>
      </c>
      <c r="D392" s="14" t="n"/>
      <c r="E392" s="16" t="n"/>
      <c r="F392" s="14" t="n"/>
    </row>
    <row r="393">
      <c r="A393" s="18" t="n"/>
      <c r="B393" s="14" t="n"/>
      <c r="C393" s="14">
        <f>IF(B393="","",IFERROR(VLOOKUP(B393,Produtos!$A$5:$B$504,2,FALSE),"código não cadastrado"))</f>
        <v/>
      </c>
      <c r="D393" s="14" t="n"/>
      <c r="E393" s="16" t="n"/>
      <c r="F393" s="14" t="n"/>
    </row>
    <row r="394">
      <c r="A394" s="18" t="n"/>
      <c r="B394" s="14" t="n"/>
      <c r="C394" s="14">
        <f>IF(B394="","",IFERROR(VLOOKUP(B394,Produtos!$A$5:$B$504,2,FALSE),"código não cadastrado"))</f>
        <v/>
      </c>
      <c r="D394" s="14" t="n"/>
      <c r="E394" s="16" t="n"/>
      <c r="F394" s="14" t="n"/>
    </row>
    <row r="395">
      <c r="A395" s="18" t="n"/>
      <c r="B395" s="14" t="n"/>
      <c r="C395" s="14">
        <f>IF(B395="","",IFERROR(VLOOKUP(B395,Produtos!$A$5:$B$504,2,FALSE),"código não cadastrado"))</f>
        <v/>
      </c>
      <c r="D395" s="14" t="n"/>
      <c r="E395" s="16" t="n"/>
      <c r="F395" s="14" t="n"/>
    </row>
    <row r="396">
      <c r="A396" s="18" t="n"/>
      <c r="B396" s="14" t="n"/>
      <c r="C396" s="14">
        <f>IF(B396="","",IFERROR(VLOOKUP(B396,Produtos!$A$5:$B$504,2,FALSE),"código não cadastrado"))</f>
        <v/>
      </c>
      <c r="D396" s="14" t="n"/>
      <c r="E396" s="16" t="n"/>
      <c r="F396" s="14" t="n"/>
    </row>
    <row r="397">
      <c r="A397" s="18" t="n"/>
      <c r="B397" s="14" t="n"/>
      <c r="C397" s="14">
        <f>IF(B397="","",IFERROR(VLOOKUP(B397,Produtos!$A$5:$B$504,2,FALSE),"código não cadastrado"))</f>
        <v/>
      </c>
      <c r="D397" s="14" t="n"/>
      <c r="E397" s="16" t="n"/>
      <c r="F397" s="14" t="n"/>
    </row>
    <row r="398">
      <c r="A398" s="18" t="n"/>
      <c r="B398" s="14" t="n"/>
      <c r="C398" s="14">
        <f>IF(B398="","",IFERROR(VLOOKUP(B398,Produtos!$A$5:$B$504,2,FALSE),"código não cadastrado"))</f>
        <v/>
      </c>
      <c r="D398" s="14" t="n"/>
      <c r="E398" s="16" t="n"/>
      <c r="F398" s="14" t="n"/>
    </row>
    <row r="399">
      <c r="A399" s="18" t="n"/>
      <c r="B399" s="14" t="n"/>
      <c r="C399" s="14">
        <f>IF(B399="","",IFERROR(VLOOKUP(B399,Produtos!$A$5:$B$504,2,FALSE),"código não cadastrado"))</f>
        <v/>
      </c>
      <c r="D399" s="14" t="n"/>
      <c r="E399" s="16" t="n"/>
      <c r="F399" s="14" t="n"/>
    </row>
    <row r="400">
      <c r="A400" s="18" t="n"/>
      <c r="B400" s="14" t="n"/>
      <c r="C400" s="14">
        <f>IF(B400="","",IFERROR(VLOOKUP(B400,Produtos!$A$5:$B$504,2,FALSE),"código não cadastrado"))</f>
        <v/>
      </c>
      <c r="D400" s="14" t="n"/>
      <c r="E400" s="16" t="n"/>
      <c r="F400" s="14" t="n"/>
    </row>
    <row r="401">
      <c r="A401" s="18" t="n"/>
      <c r="B401" s="14" t="n"/>
      <c r="C401" s="14">
        <f>IF(B401="","",IFERROR(VLOOKUP(B401,Produtos!$A$5:$B$504,2,FALSE),"código não cadastrado"))</f>
        <v/>
      </c>
      <c r="D401" s="14" t="n"/>
      <c r="E401" s="16" t="n"/>
      <c r="F401" s="14" t="n"/>
    </row>
    <row r="402">
      <c r="A402" s="18" t="n"/>
      <c r="B402" s="14" t="n"/>
      <c r="C402" s="14">
        <f>IF(B402="","",IFERROR(VLOOKUP(B402,Produtos!$A$5:$B$504,2,FALSE),"código não cadastrado"))</f>
        <v/>
      </c>
      <c r="D402" s="14" t="n"/>
      <c r="E402" s="16" t="n"/>
      <c r="F402" s="14" t="n"/>
    </row>
    <row r="403">
      <c r="A403" s="18" t="n"/>
      <c r="B403" s="14" t="n"/>
      <c r="C403" s="14">
        <f>IF(B403="","",IFERROR(VLOOKUP(B403,Produtos!$A$5:$B$504,2,FALSE),"código não cadastrado"))</f>
        <v/>
      </c>
      <c r="D403" s="14" t="n"/>
      <c r="E403" s="16" t="n"/>
      <c r="F403" s="14" t="n"/>
    </row>
    <row r="404">
      <c r="A404" s="18" t="n"/>
      <c r="B404" s="14" t="n"/>
      <c r="C404" s="14">
        <f>IF(B404="","",IFERROR(VLOOKUP(B404,Produtos!$A$5:$B$504,2,FALSE),"código não cadastrado"))</f>
        <v/>
      </c>
      <c r="D404" s="14" t="n"/>
      <c r="E404" s="16" t="n"/>
      <c r="F404" s="14" t="n"/>
    </row>
    <row r="405">
      <c r="A405" s="18" t="n"/>
      <c r="B405" s="14" t="n"/>
      <c r="C405" s="14">
        <f>IF(B405="","",IFERROR(VLOOKUP(B405,Produtos!$A$5:$B$504,2,FALSE),"código não cadastrado"))</f>
        <v/>
      </c>
      <c r="D405" s="14" t="n"/>
      <c r="E405" s="16" t="n"/>
      <c r="F405" s="14" t="n"/>
    </row>
    <row r="406">
      <c r="A406" s="18" t="n"/>
      <c r="B406" s="14" t="n"/>
      <c r="C406" s="14">
        <f>IF(B406="","",IFERROR(VLOOKUP(B406,Produtos!$A$5:$B$504,2,FALSE),"código não cadastrado"))</f>
        <v/>
      </c>
      <c r="D406" s="14" t="n"/>
      <c r="E406" s="16" t="n"/>
      <c r="F406" s="14" t="n"/>
    </row>
    <row r="407">
      <c r="A407" s="18" t="n"/>
      <c r="B407" s="14" t="n"/>
      <c r="C407" s="14">
        <f>IF(B407="","",IFERROR(VLOOKUP(B407,Produtos!$A$5:$B$504,2,FALSE),"código não cadastrado"))</f>
        <v/>
      </c>
      <c r="D407" s="14" t="n"/>
      <c r="E407" s="16" t="n"/>
      <c r="F407" s="14" t="n"/>
    </row>
    <row r="408">
      <c r="A408" s="18" t="n"/>
      <c r="B408" s="14" t="n"/>
      <c r="C408" s="14">
        <f>IF(B408="","",IFERROR(VLOOKUP(B408,Produtos!$A$5:$B$504,2,FALSE),"código não cadastrado"))</f>
        <v/>
      </c>
      <c r="D408" s="14" t="n"/>
      <c r="E408" s="16" t="n"/>
      <c r="F408" s="14" t="n"/>
    </row>
    <row r="409">
      <c r="A409" s="18" t="n"/>
      <c r="B409" s="14" t="n"/>
      <c r="C409" s="14">
        <f>IF(B409="","",IFERROR(VLOOKUP(B409,Produtos!$A$5:$B$504,2,FALSE),"código não cadastrado"))</f>
        <v/>
      </c>
      <c r="D409" s="14" t="n"/>
      <c r="E409" s="16" t="n"/>
      <c r="F409" s="14" t="n"/>
    </row>
    <row r="410">
      <c r="A410" s="18" t="n"/>
      <c r="B410" s="14" t="n"/>
      <c r="C410" s="14">
        <f>IF(B410="","",IFERROR(VLOOKUP(B410,Produtos!$A$5:$B$504,2,FALSE),"código não cadastrado"))</f>
        <v/>
      </c>
      <c r="D410" s="14" t="n"/>
      <c r="E410" s="16" t="n"/>
      <c r="F410" s="14" t="n"/>
    </row>
    <row r="411">
      <c r="A411" s="18" t="n"/>
      <c r="B411" s="14" t="n"/>
      <c r="C411" s="14">
        <f>IF(B411="","",IFERROR(VLOOKUP(B411,Produtos!$A$5:$B$504,2,FALSE),"código não cadastrado"))</f>
        <v/>
      </c>
      <c r="D411" s="14" t="n"/>
      <c r="E411" s="16" t="n"/>
      <c r="F411" s="14" t="n"/>
    </row>
    <row r="412">
      <c r="A412" s="18" t="n"/>
      <c r="B412" s="14" t="n"/>
      <c r="C412" s="14">
        <f>IF(B412="","",IFERROR(VLOOKUP(B412,Produtos!$A$5:$B$504,2,FALSE),"código não cadastrado"))</f>
        <v/>
      </c>
      <c r="D412" s="14" t="n"/>
      <c r="E412" s="16" t="n"/>
      <c r="F412" s="14" t="n"/>
    </row>
    <row r="413">
      <c r="A413" s="18" t="n"/>
      <c r="B413" s="14" t="n"/>
      <c r="C413" s="14">
        <f>IF(B413="","",IFERROR(VLOOKUP(B413,Produtos!$A$5:$B$504,2,FALSE),"código não cadastrado"))</f>
        <v/>
      </c>
      <c r="D413" s="14" t="n"/>
      <c r="E413" s="16" t="n"/>
      <c r="F413" s="14" t="n"/>
    </row>
    <row r="414">
      <c r="A414" s="18" t="n"/>
      <c r="B414" s="14" t="n"/>
      <c r="C414" s="14">
        <f>IF(B414="","",IFERROR(VLOOKUP(B414,Produtos!$A$5:$B$504,2,FALSE),"código não cadastrado"))</f>
        <v/>
      </c>
      <c r="D414" s="14" t="n"/>
      <c r="E414" s="16" t="n"/>
      <c r="F414" s="14" t="n"/>
    </row>
    <row r="415">
      <c r="A415" s="18" t="n"/>
      <c r="B415" s="14" t="n"/>
      <c r="C415" s="14">
        <f>IF(B415="","",IFERROR(VLOOKUP(B415,Produtos!$A$5:$B$504,2,FALSE),"código não cadastrado"))</f>
        <v/>
      </c>
      <c r="D415" s="14" t="n"/>
      <c r="E415" s="16" t="n"/>
      <c r="F415" s="14" t="n"/>
    </row>
    <row r="416">
      <c r="A416" s="18" t="n"/>
      <c r="B416" s="14" t="n"/>
      <c r="C416" s="14">
        <f>IF(B416="","",IFERROR(VLOOKUP(B416,Produtos!$A$5:$B$504,2,FALSE),"código não cadastrado"))</f>
        <v/>
      </c>
      <c r="D416" s="14" t="n"/>
      <c r="E416" s="16" t="n"/>
      <c r="F416" s="14" t="n"/>
    </row>
    <row r="417">
      <c r="A417" s="18" t="n"/>
      <c r="B417" s="14" t="n"/>
      <c r="C417" s="14">
        <f>IF(B417="","",IFERROR(VLOOKUP(B417,Produtos!$A$5:$B$504,2,FALSE),"código não cadastrado"))</f>
        <v/>
      </c>
      <c r="D417" s="14" t="n"/>
      <c r="E417" s="16" t="n"/>
      <c r="F417" s="14" t="n"/>
    </row>
    <row r="418">
      <c r="A418" s="18" t="n"/>
      <c r="B418" s="14" t="n"/>
      <c r="C418" s="14">
        <f>IF(B418="","",IFERROR(VLOOKUP(B418,Produtos!$A$5:$B$504,2,FALSE),"código não cadastrado"))</f>
        <v/>
      </c>
      <c r="D418" s="14" t="n"/>
      <c r="E418" s="16" t="n"/>
      <c r="F418" s="14" t="n"/>
    </row>
    <row r="419">
      <c r="A419" s="18" t="n"/>
      <c r="B419" s="14" t="n"/>
      <c r="C419" s="14">
        <f>IF(B419="","",IFERROR(VLOOKUP(B419,Produtos!$A$5:$B$504,2,FALSE),"código não cadastrado"))</f>
        <v/>
      </c>
      <c r="D419" s="14" t="n"/>
      <c r="E419" s="16" t="n"/>
      <c r="F419" s="14" t="n"/>
    </row>
    <row r="420">
      <c r="A420" s="18" t="n"/>
      <c r="B420" s="14" t="n"/>
      <c r="C420" s="14">
        <f>IF(B420="","",IFERROR(VLOOKUP(B420,Produtos!$A$5:$B$504,2,FALSE),"código não cadastrado"))</f>
        <v/>
      </c>
      <c r="D420" s="14" t="n"/>
      <c r="E420" s="16" t="n"/>
      <c r="F420" s="14" t="n"/>
    </row>
    <row r="421">
      <c r="A421" s="18" t="n"/>
      <c r="B421" s="14" t="n"/>
      <c r="C421" s="14">
        <f>IF(B421="","",IFERROR(VLOOKUP(B421,Produtos!$A$5:$B$504,2,FALSE),"código não cadastrado"))</f>
        <v/>
      </c>
      <c r="D421" s="14" t="n"/>
      <c r="E421" s="16" t="n"/>
      <c r="F421" s="14" t="n"/>
    </row>
    <row r="422">
      <c r="A422" s="18" t="n"/>
      <c r="B422" s="14" t="n"/>
      <c r="C422" s="14">
        <f>IF(B422="","",IFERROR(VLOOKUP(B422,Produtos!$A$5:$B$504,2,FALSE),"código não cadastrado"))</f>
        <v/>
      </c>
      <c r="D422" s="14" t="n"/>
      <c r="E422" s="16" t="n"/>
      <c r="F422" s="14" t="n"/>
    </row>
    <row r="423">
      <c r="A423" s="18" t="n"/>
      <c r="B423" s="14" t="n"/>
      <c r="C423" s="14">
        <f>IF(B423="","",IFERROR(VLOOKUP(B423,Produtos!$A$5:$B$504,2,FALSE),"código não cadastrado"))</f>
        <v/>
      </c>
      <c r="D423" s="14" t="n"/>
      <c r="E423" s="16" t="n"/>
      <c r="F423" s="14" t="n"/>
    </row>
    <row r="424">
      <c r="A424" s="18" t="n"/>
      <c r="B424" s="14" t="n"/>
      <c r="C424" s="14">
        <f>IF(B424="","",IFERROR(VLOOKUP(B424,Produtos!$A$5:$B$504,2,FALSE),"código não cadastrado"))</f>
        <v/>
      </c>
      <c r="D424" s="14" t="n"/>
      <c r="E424" s="16" t="n"/>
      <c r="F424" s="14" t="n"/>
    </row>
    <row r="425">
      <c r="A425" s="18" t="n"/>
      <c r="B425" s="14" t="n"/>
      <c r="C425" s="14">
        <f>IF(B425="","",IFERROR(VLOOKUP(B425,Produtos!$A$5:$B$504,2,FALSE),"código não cadastrado"))</f>
        <v/>
      </c>
      <c r="D425" s="14" t="n"/>
      <c r="E425" s="16" t="n"/>
      <c r="F425" s="14" t="n"/>
    </row>
    <row r="426">
      <c r="A426" s="18" t="n"/>
      <c r="B426" s="14" t="n"/>
      <c r="C426" s="14">
        <f>IF(B426="","",IFERROR(VLOOKUP(B426,Produtos!$A$5:$B$504,2,FALSE),"código não cadastrado"))</f>
        <v/>
      </c>
      <c r="D426" s="14" t="n"/>
      <c r="E426" s="16" t="n"/>
      <c r="F426" s="14" t="n"/>
    </row>
    <row r="427">
      <c r="A427" s="18" t="n"/>
      <c r="B427" s="14" t="n"/>
      <c r="C427" s="14">
        <f>IF(B427="","",IFERROR(VLOOKUP(B427,Produtos!$A$5:$B$504,2,FALSE),"código não cadastrado"))</f>
        <v/>
      </c>
      <c r="D427" s="14" t="n"/>
      <c r="E427" s="16" t="n"/>
      <c r="F427" s="14" t="n"/>
    </row>
    <row r="428">
      <c r="A428" s="18" t="n"/>
      <c r="B428" s="14" t="n"/>
      <c r="C428" s="14">
        <f>IF(B428="","",IFERROR(VLOOKUP(B428,Produtos!$A$5:$B$504,2,FALSE),"código não cadastrado"))</f>
        <v/>
      </c>
      <c r="D428" s="14" t="n"/>
      <c r="E428" s="16" t="n"/>
      <c r="F428" s="14" t="n"/>
    </row>
    <row r="429">
      <c r="A429" s="18" t="n"/>
      <c r="B429" s="14" t="n"/>
      <c r="C429" s="14">
        <f>IF(B429="","",IFERROR(VLOOKUP(B429,Produtos!$A$5:$B$504,2,FALSE),"código não cadastrado"))</f>
        <v/>
      </c>
      <c r="D429" s="14" t="n"/>
      <c r="E429" s="16" t="n"/>
      <c r="F429" s="14" t="n"/>
    </row>
    <row r="430">
      <c r="A430" s="18" t="n"/>
      <c r="B430" s="14" t="n"/>
      <c r="C430" s="14">
        <f>IF(B430="","",IFERROR(VLOOKUP(B430,Produtos!$A$5:$B$504,2,FALSE),"código não cadastrado"))</f>
        <v/>
      </c>
      <c r="D430" s="14" t="n"/>
      <c r="E430" s="16" t="n"/>
      <c r="F430" s="14" t="n"/>
    </row>
    <row r="431">
      <c r="A431" s="18" t="n"/>
      <c r="B431" s="14" t="n"/>
      <c r="C431" s="14">
        <f>IF(B431="","",IFERROR(VLOOKUP(B431,Produtos!$A$5:$B$504,2,FALSE),"código não cadastrado"))</f>
        <v/>
      </c>
      <c r="D431" s="14" t="n"/>
      <c r="E431" s="16" t="n"/>
      <c r="F431" s="14" t="n"/>
    </row>
    <row r="432">
      <c r="A432" s="18" t="n"/>
      <c r="B432" s="14" t="n"/>
      <c r="C432" s="14">
        <f>IF(B432="","",IFERROR(VLOOKUP(B432,Produtos!$A$5:$B$504,2,FALSE),"código não cadastrado"))</f>
        <v/>
      </c>
      <c r="D432" s="14" t="n"/>
      <c r="E432" s="16" t="n"/>
      <c r="F432" s="14" t="n"/>
    </row>
    <row r="433">
      <c r="A433" s="18" t="n"/>
      <c r="B433" s="14" t="n"/>
      <c r="C433" s="14">
        <f>IF(B433="","",IFERROR(VLOOKUP(B433,Produtos!$A$5:$B$504,2,FALSE),"código não cadastrado"))</f>
        <v/>
      </c>
      <c r="D433" s="14" t="n"/>
      <c r="E433" s="16" t="n"/>
      <c r="F433" s="14" t="n"/>
    </row>
    <row r="434">
      <c r="A434" s="18" t="n"/>
      <c r="B434" s="14" t="n"/>
      <c r="C434" s="14">
        <f>IF(B434="","",IFERROR(VLOOKUP(B434,Produtos!$A$5:$B$504,2,FALSE),"código não cadastrado"))</f>
        <v/>
      </c>
      <c r="D434" s="14" t="n"/>
      <c r="E434" s="16" t="n"/>
      <c r="F434" s="14" t="n"/>
    </row>
    <row r="435">
      <c r="A435" s="18" t="n"/>
      <c r="B435" s="14" t="n"/>
      <c r="C435" s="14">
        <f>IF(B435="","",IFERROR(VLOOKUP(B435,Produtos!$A$5:$B$504,2,FALSE),"código não cadastrado"))</f>
        <v/>
      </c>
      <c r="D435" s="14" t="n"/>
      <c r="E435" s="16" t="n"/>
      <c r="F435" s="14" t="n"/>
    </row>
    <row r="436">
      <c r="A436" s="18" t="n"/>
      <c r="B436" s="14" t="n"/>
      <c r="C436" s="14">
        <f>IF(B436="","",IFERROR(VLOOKUP(B436,Produtos!$A$5:$B$504,2,FALSE),"código não cadastrado"))</f>
        <v/>
      </c>
      <c r="D436" s="14" t="n"/>
      <c r="E436" s="16" t="n"/>
      <c r="F436" s="14" t="n"/>
    </row>
    <row r="437">
      <c r="A437" s="18" t="n"/>
      <c r="B437" s="14" t="n"/>
      <c r="C437" s="14">
        <f>IF(B437="","",IFERROR(VLOOKUP(B437,Produtos!$A$5:$B$504,2,FALSE),"código não cadastrado"))</f>
        <v/>
      </c>
      <c r="D437" s="14" t="n"/>
      <c r="E437" s="16" t="n"/>
      <c r="F437" s="14" t="n"/>
    </row>
    <row r="438">
      <c r="A438" s="18" t="n"/>
      <c r="B438" s="14" t="n"/>
      <c r="C438" s="14">
        <f>IF(B438="","",IFERROR(VLOOKUP(B438,Produtos!$A$5:$B$504,2,FALSE),"código não cadastrado"))</f>
        <v/>
      </c>
      <c r="D438" s="14" t="n"/>
      <c r="E438" s="16" t="n"/>
      <c r="F438" s="14" t="n"/>
    </row>
    <row r="439">
      <c r="A439" s="18" t="n"/>
      <c r="B439" s="14" t="n"/>
      <c r="C439" s="14">
        <f>IF(B439="","",IFERROR(VLOOKUP(B439,Produtos!$A$5:$B$504,2,FALSE),"código não cadastrado"))</f>
        <v/>
      </c>
      <c r="D439" s="14" t="n"/>
      <c r="E439" s="16" t="n"/>
      <c r="F439" s="14" t="n"/>
    </row>
    <row r="440">
      <c r="A440" s="18" t="n"/>
      <c r="B440" s="14" t="n"/>
      <c r="C440" s="14">
        <f>IF(B440="","",IFERROR(VLOOKUP(B440,Produtos!$A$5:$B$504,2,FALSE),"código não cadastrado"))</f>
        <v/>
      </c>
      <c r="D440" s="14" t="n"/>
      <c r="E440" s="16" t="n"/>
      <c r="F440" s="14" t="n"/>
    </row>
    <row r="441">
      <c r="A441" s="18" t="n"/>
      <c r="B441" s="14" t="n"/>
      <c r="C441" s="14">
        <f>IF(B441="","",IFERROR(VLOOKUP(B441,Produtos!$A$5:$B$504,2,FALSE),"código não cadastrado"))</f>
        <v/>
      </c>
      <c r="D441" s="14" t="n"/>
      <c r="E441" s="16" t="n"/>
      <c r="F441" s="14" t="n"/>
    </row>
    <row r="442">
      <c r="A442" s="18" t="n"/>
      <c r="B442" s="14" t="n"/>
      <c r="C442" s="14">
        <f>IF(B442="","",IFERROR(VLOOKUP(B442,Produtos!$A$5:$B$504,2,FALSE),"código não cadastrado"))</f>
        <v/>
      </c>
      <c r="D442" s="14" t="n"/>
      <c r="E442" s="16" t="n"/>
      <c r="F442" s="14" t="n"/>
    </row>
    <row r="443">
      <c r="A443" s="18" t="n"/>
      <c r="B443" s="14" t="n"/>
      <c r="C443" s="14">
        <f>IF(B443="","",IFERROR(VLOOKUP(B443,Produtos!$A$5:$B$504,2,FALSE),"código não cadastrado"))</f>
        <v/>
      </c>
      <c r="D443" s="14" t="n"/>
      <c r="E443" s="16" t="n"/>
      <c r="F443" s="14" t="n"/>
    </row>
    <row r="444">
      <c r="A444" s="18" t="n"/>
      <c r="B444" s="14" t="n"/>
      <c r="C444" s="14">
        <f>IF(B444="","",IFERROR(VLOOKUP(B444,Produtos!$A$5:$B$504,2,FALSE),"código não cadastrado"))</f>
        <v/>
      </c>
      <c r="D444" s="14" t="n"/>
      <c r="E444" s="16" t="n"/>
      <c r="F444" s="14" t="n"/>
    </row>
    <row r="445">
      <c r="A445" s="18" t="n"/>
      <c r="B445" s="14" t="n"/>
      <c r="C445" s="14">
        <f>IF(B445="","",IFERROR(VLOOKUP(B445,Produtos!$A$5:$B$504,2,FALSE),"código não cadastrado"))</f>
        <v/>
      </c>
      <c r="D445" s="14" t="n"/>
      <c r="E445" s="16" t="n"/>
      <c r="F445" s="14" t="n"/>
    </row>
    <row r="446">
      <c r="A446" s="18" t="n"/>
      <c r="B446" s="14" t="n"/>
      <c r="C446" s="14">
        <f>IF(B446="","",IFERROR(VLOOKUP(B446,Produtos!$A$5:$B$504,2,FALSE),"código não cadastrado"))</f>
        <v/>
      </c>
      <c r="D446" s="14" t="n"/>
      <c r="E446" s="16" t="n"/>
      <c r="F446" s="14" t="n"/>
    </row>
    <row r="447">
      <c r="A447" s="18" t="n"/>
      <c r="B447" s="14" t="n"/>
      <c r="C447" s="14">
        <f>IF(B447="","",IFERROR(VLOOKUP(B447,Produtos!$A$5:$B$504,2,FALSE),"código não cadastrado"))</f>
        <v/>
      </c>
      <c r="D447" s="14" t="n"/>
      <c r="E447" s="16" t="n"/>
      <c r="F447" s="14" t="n"/>
    </row>
    <row r="448">
      <c r="A448" s="18" t="n"/>
      <c r="B448" s="14" t="n"/>
      <c r="C448" s="14">
        <f>IF(B448="","",IFERROR(VLOOKUP(B448,Produtos!$A$5:$B$504,2,FALSE),"código não cadastrado"))</f>
        <v/>
      </c>
      <c r="D448" s="14" t="n"/>
      <c r="E448" s="16" t="n"/>
      <c r="F448" s="14" t="n"/>
    </row>
    <row r="449">
      <c r="A449" s="18" t="n"/>
      <c r="B449" s="14" t="n"/>
      <c r="C449" s="14">
        <f>IF(B449="","",IFERROR(VLOOKUP(B449,Produtos!$A$5:$B$504,2,FALSE),"código não cadastrado"))</f>
        <v/>
      </c>
      <c r="D449" s="14" t="n"/>
      <c r="E449" s="16" t="n"/>
      <c r="F449" s="14" t="n"/>
    </row>
    <row r="450">
      <c r="A450" s="18" t="n"/>
      <c r="B450" s="14" t="n"/>
      <c r="C450" s="14">
        <f>IF(B450="","",IFERROR(VLOOKUP(B450,Produtos!$A$5:$B$504,2,FALSE),"código não cadastrado"))</f>
        <v/>
      </c>
      <c r="D450" s="14" t="n"/>
      <c r="E450" s="16" t="n"/>
      <c r="F450" s="14" t="n"/>
    </row>
    <row r="451">
      <c r="A451" s="18" t="n"/>
      <c r="B451" s="14" t="n"/>
      <c r="C451" s="14">
        <f>IF(B451="","",IFERROR(VLOOKUP(B451,Produtos!$A$5:$B$504,2,FALSE),"código não cadastrado"))</f>
        <v/>
      </c>
      <c r="D451" s="14" t="n"/>
      <c r="E451" s="16" t="n"/>
      <c r="F451" s="14" t="n"/>
    </row>
    <row r="452">
      <c r="A452" s="18" t="n"/>
      <c r="B452" s="14" t="n"/>
      <c r="C452" s="14">
        <f>IF(B452="","",IFERROR(VLOOKUP(B452,Produtos!$A$5:$B$504,2,FALSE),"código não cadastrado"))</f>
        <v/>
      </c>
      <c r="D452" s="14" t="n"/>
      <c r="E452" s="16" t="n"/>
      <c r="F452" s="14" t="n"/>
    </row>
    <row r="453">
      <c r="A453" s="18" t="n"/>
      <c r="B453" s="14" t="n"/>
      <c r="C453" s="14">
        <f>IF(B453="","",IFERROR(VLOOKUP(B453,Produtos!$A$5:$B$504,2,FALSE),"código não cadastrado"))</f>
        <v/>
      </c>
      <c r="D453" s="14" t="n"/>
      <c r="E453" s="16" t="n"/>
      <c r="F453" s="14" t="n"/>
    </row>
    <row r="454">
      <c r="A454" s="18" t="n"/>
      <c r="B454" s="14" t="n"/>
      <c r="C454" s="14">
        <f>IF(B454="","",IFERROR(VLOOKUP(B454,Produtos!$A$5:$B$504,2,FALSE),"código não cadastrado"))</f>
        <v/>
      </c>
      <c r="D454" s="14" t="n"/>
      <c r="E454" s="16" t="n"/>
      <c r="F454" s="14" t="n"/>
    </row>
    <row r="455">
      <c r="A455" s="18" t="n"/>
      <c r="B455" s="14" t="n"/>
      <c r="C455" s="14">
        <f>IF(B455="","",IFERROR(VLOOKUP(B455,Produtos!$A$5:$B$504,2,FALSE),"código não cadastrado"))</f>
        <v/>
      </c>
      <c r="D455" s="14" t="n"/>
      <c r="E455" s="16" t="n"/>
      <c r="F455" s="14" t="n"/>
    </row>
    <row r="456">
      <c r="A456" s="18" t="n"/>
      <c r="B456" s="14" t="n"/>
      <c r="C456" s="14">
        <f>IF(B456="","",IFERROR(VLOOKUP(B456,Produtos!$A$5:$B$504,2,FALSE),"código não cadastrado"))</f>
        <v/>
      </c>
      <c r="D456" s="14" t="n"/>
      <c r="E456" s="16" t="n"/>
      <c r="F456" s="14" t="n"/>
    </row>
    <row r="457">
      <c r="A457" s="18" t="n"/>
      <c r="B457" s="14" t="n"/>
      <c r="C457" s="14">
        <f>IF(B457="","",IFERROR(VLOOKUP(B457,Produtos!$A$5:$B$504,2,FALSE),"código não cadastrado"))</f>
        <v/>
      </c>
      <c r="D457" s="14" t="n"/>
      <c r="E457" s="16" t="n"/>
      <c r="F457" s="14" t="n"/>
    </row>
    <row r="458">
      <c r="A458" s="18" t="n"/>
      <c r="B458" s="14" t="n"/>
      <c r="C458" s="14">
        <f>IF(B458="","",IFERROR(VLOOKUP(B458,Produtos!$A$5:$B$504,2,FALSE),"código não cadastrado"))</f>
        <v/>
      </c>
      <c r="D458" s="14" t="n"/>
      <c r="E458" s="16" t="n"/>
      <c r="F458" s="14" t="n"/>
    </row>
    <row r="459">
      <c r="A459" s="18" t="n"/>
      <c r="B459" s="14" t="n"/>
      <c r="C459" s="14">
        <f>IF(B459="","",IFERROR(VLOOKUP(B459,Produtos!$A$5:$B$504,2,FALSE),"código não cadastrado"))</f>
        <v/>
      </c>
      <c r="D459" s="14" t="n"/>
      <c r="E459" s="16" t="n"/>
      <c r="F459" s="14" t="n"/>
    </row>
    <row r="460">
      <c r="A460" s="18" t="n"/>
      <c r="B460" s="14" t="n"/>
      <c r="C460" s="14">
        <f>IF(B460="","",IFERROR(VLOOKUP(B460,Produtos!$A$5:$B$504,2,FALSE),"código não cadastrado"))</f>
        <v/>
      </c>
      <c r="D460" s="14" t="n"/>
      <c r="E460" s="16" t="n"/>
      <c r="F460" s="14" t="n"/>
    </row>
    <row r="461">
      <c r="A461" s="18" t="n"/>
      <c r="B461" s="14" t="n"/>
      <c r="C461" s="14">
        <f>IF(B461="","",IFERROR(VLOOKUP(B461,Produtos!$A$5:$B$504,2,FALSE),"código não cadastrado"))</f>
        <v/>
      </c>
      <c r="D461" s="14" t="n"/>
      <c r="E461" s="16" t="n"/>
      <c r="F461" s="14" t="n"/>
    </row>
    <row r="462">
      <c r="A462" s="18" t="n"/>
      <c r="B462" s="14" t="n"/>
      <c r="C462" s="14">
        <f>IF(B462="","",IFERROR(VLOOKUP(B462,Produtos!$A$5:$B$504,2,FALSE),"código não cadastrado"))</f>
        <v/>
      </c>
      <c r="D462" s="14" t="n"/>
      <c r="E462" s="16" t="n"/>
      <c r="F462" s="14" t="n"/>
    </row>
    <row r="463">
      <c r="A463" s="18" t="n"/>
      <c r="B463" s="14" t="n"/>
      <c r="C463" s="14">
        <f>IF(B463="","",IFERROR(VLOOKUP(B463,Produtos!$A$5:$B$504,2,FALSE),"código não cadastrado"))</f>
        <v/>
      </c>
      <c r="D463" s="14" t="n"/>
      <c r="E463" s="16" t="n"/>
      <c r="F463" s="14" t="n"/>
    </row>
    <row r="464">
      <c r="A464" s="18" t="n"/>
      <c r="B464" s="14" t="n"/>
      <c r="C464" s="14">
        <f>IF(B464="","",IFERROR(VLOOKUP(B464,Produtos!$A$5:$B$504,2,FALSE),"código não cadastrado"))</f>
        <v/>
      </c>
      <c r="D464" s="14" t="n"/>
      <c r="E464" s="16" t="n"/>
      <c r="F464" s="14" t="n"/>
    </row>
    <row r="465">
      <c r="A465" s="18" t="n"/>
      <c r="B465" s="14" t="n"/>
      <c r="C465" s="14">
        <f>IF(B465="","",IFERROR(VLOOKUP(B465,Produtos!$A$5:$B$504,2,FALSE),"código não cadastrado"))</f>
        <v/>
      </c>
      <c r="D465" s="14" t="n"/>
      <c r="E465" s="16" t="n"/>
      <c r="F465" s="14" t="n"/>
    </row>
    <row r="466">
      <c r="A466" s="18" t="n"/>
      <c r="B466" s="14" t="n"/>
      <c r="C466" s="14">
        <f>IF(B466="","",IFERROR(VLOOKUP(B466,Produtos!$A$5:$B$504,2,FALSE),"código não cadastrado"))</f>
        <v/>
      </c>
      <c r="D466" s="14" t="n"/>
      <c r="E466" s="16" t="n"/>
      <c r="F466" s="14" t="n"/>
    </row>
    <row r="467">
      <c r="A467" s="18" t="n"/>
      <c r="B467" s="14" t="n"/>
      <c r="C467" s="14">
        <f>IF(B467="","",IFERROR(VLOOKUP(B467,Produtos!$A$5:$B$504,2,FALSE),"código não cadastrado"))</f>
        <v/>
      </c>
      <c r="D467" s="14" t="n"/>
      <c r="E467" s="16" t="n"/>
      <c r="F467" s="14" t="n"/>
    </row>
    <row r="468">
      <c r="A468" s="18" t="n"/>
      <c r="B468" s="14" t="n"/>
      <c r="C468" s="14">
        <f>IF(B468="","",IFERROR(VLOOKUP(B468,Produtos!$A$5:$B$504,2,FALSE),"código não cadastrado"))</f>
        <v/>
      </c>
      <c r="D468" s="14" t="n"/>
      <c r="E468" s="16" t="n"/>
      <c r="F468" s="14" t="n"/>
    </row>
    <row r="469">
      <c r="A469" s="18" t="n"/>
      <c r="B469" s="14" t="n"/>
      <c r="C469" s="14">
        <f>IF(B469="","",IFERROR(VLOOKUP(B469,Produtos!$A$5:$B$504,2,FALSE),"código não cadastrado"))</f>
        <v/>
      </c>
      <c r="D469" s="14" t="n"/>
      <c r="E469" s="16" t="n"/>
      <c r="F469" s="14" t="n"/>
    </row>
    <row r="470">
      <c r="A470" s="18" t="n"/>
      <c r="B470" s="14" t="n"/>
      <c r="C470" s="14">
        <f>IF(B470="","",IFERROR(VLOOKUP(B470,Produtos!$A$5:$B$504,2,FALSE),"código não cadastrado"))</f>
        <v/>
      </c>
      <c r="D470" s="14" t="n"/>
      <c r="E470" s="16" t="n"/>
      <c r="F470" s="14" t="n"/>
    </row>
    <row r="471">
      <c r="A471" s="18" t="n"/>
      <c r="B471" s="14" t="n"/>
      <c r="C471" s="14">
        <f>IF(B471="","",IFERROR(VLOOKUP(B471,Produtos!$A$5:$B$504,2,FALSE),"código não cadastrado"))</f>
        <v/>
      </c>
      <c r="D471" s="14" t="n"/>
      <c r="E471" s="16" t="n"/>
      <c r="F471" s="14" t="n"/>
    </row>
    <row r="472">
      <c r="A472" s="18" t="n"/>
      <c r="B472" s="14" t="n"/>
      <c r="C472" s="14">
        <f>IF(B472="","",IFERROR(VLOOKUP(B472,Produtos!$A$5:$B$504,2,FALSE),"código não cadastrado"))</f>
        <v/>
      </c>
      <c r="D472" s="14" t="n"/>
      <c r="E472" s="16" t="n"/>
      <c r="F472" s="14" t="n"/>
    </row>
    <row r="473">
      <c r="A473" s="18" t="n"/>
      <c r="B473" s="14" t="n"/>
      <c r="C473" s="14">
        <f>IF(B473="","",IFERROR(VLOOKUP(B473,Produtos!$A$5:$B$504,2,FALSE),"código não cadastrado"))</f>
        <v/>
      </c>
      <c r="D473" s="14" t="n"/>
      <c r="E473" s="16" t="n"/>
      <c r="F473" s="14" t="n"/>
    </row>
    <row r="474">
      <c r="A474" s="18" t="n"/>
      <c r="B474" s="14" t="n"/>
      <c r="C474" s="14">
        <f>IF(B474="","",IFERROR(VLOOKUP(B474,Produtos!$A$5:$B$504,2,FALSE),"código não cadastrado"))</f>
        <v/>
      </c>
      <c r="D474" s="14" t="n"/>
      <c r="E474" s="16" t="n"/>
      <c r="F474" s="14" t="n"/>
    </row>
    <row r="475">
      <c r="A475" s="18" t="n"/>
      <c r="B475" s="14" t="n"/>
      <c r="C475" s="14">
        <f>IF(B475="","",IFERROR(VLOOKUP(B475,Produtos!$A$5:$B$504,2,FALSE),"código não cadastrado"))</f>
        <v/>
      </c>
      <c r="D475" s="14" t="n"/>
      <c r="E475" s="16" t="n"/>
      <c r="F475" s="14" t="n"/>
    </row>
    <row r="476">
      <c r="A476" s="18" t="n"/>
      <c r="B476" s="14" t="n"/>
      <c r="C476" s="14">
        <f>IF(B476="","",IFERROR(VLOOKUP(B476,Produtos!$A$5:$B$504,2,FALSE),"código não cadastrado"))</f>
        <v/>
      </c>
      <c r="D476" s="14" t="n"/>
      <c r="E476" s="16" t="n"/>
      <c r="F476" s="14" t="n"/>
    </row>
    <row r="477">
      <c r="A477" s="18" t="n"/>
      <c r="B477" s="14" t="n"/>
      <c r="C477" s="14">
        <f>IF(B477="","",IFERROR(VLOOKUP(B477,Produtos!$A$5:$B$504,2,FALSE),"código não cadastrado"))</f>
        <v/>
      </c>
      <c r="D477" s="14" t="n"/>
      <c r="E477" s="16" t="n"/>
      <c r="F477" s="14" t="n"/>
    </row>
    <row r="478">
      <c r="A478" s="18" t="n"/>
      <c r="B478" s="14" t="n"/>
      <c r="C478" s="14">
        <f>IF(B478="","",IFERROR(VLOOKUP(B478,Produtos!$A$5:$B$504,2,FALSE),"código não cadastrado"))</f>
        <v/>
      </c>
      <c r="D478" s="14" t="n"/>
      <c r="E478" s="16" t="n"/>
      <c r="F478" s="14" t="n"/>
    </row>
    <row r="479">
      <c r="A479" s="18" t="n"/>
      <c r="B479" s="14" t="n"/>
      <c r="C479" s="14">
        <f>IF(B479="","",IFERROR(VLOOKUP(B479,Produtos!$A$5:$B$504,2,FALSE),"código não cadastrado"))</f>
        <v/>
      </c>
      <c r="D479" s="14" t="n"/>
      <c r="E479" s="16" t="n"/>
      <c r="F479" s="14" t="n"/>
    </row>
    <row r="480">
      <c r="A480" s="18" t="n"/>
      <c r="B480" s="14" t="n"/>
      <c r="C480" s="14">
        <f>IF(B480="","",IFERROR(VLOOKUP(B480,Produtos!$A$5:$B$504,2,FALSE),"código não cadastrado"))</f>
        <v/>
      </c>
      <c r="D480" s="14" t="n"/>
      <c r="E480" s="16" t="n"/>
      <c r="F480" s="14" t="n"/>
    </row>
    <row r="481">
      <c r="A481" s="18" t="n"/>
      <c r="B481" s="14" t="n"/>
      <c r="C481" s="14">
        <f>IF(B481="","",IFERROR(VLOOKUP(B481,Produtos!$A$5:$B$504,2,FALSE),"código não cadastrado"))</f>
        <v/>
      </c>
      <c r="D481" s="14" t="n"/>
      <c r="E481" s="16" t="n"/>
      <c r="F481" s="14" t="n"/>
    </row>
    <row r="482">
      <c r="A482" s="18" t="n"/>
      <c r="B482" s="14" t="n"/>
      <c r="C482" s="14">
        <f>IF(B482="","",IFERROR(VLOOKUP(B482,Produtos!$A$5:$B$504,2,FALSE),"código não cadastrado"))</f>
        <v/>
      </c>
      <c r="D482" s="14" t="n"/>
      <c r="E482" s="16" t="n"/>
      <c r="F482" s="14" t="n"/>
    </row>
    <row r="483">
      <c r="A483" s="18" t="n"/>
      <c r="B483" s="14" t="n"/>
      <c r="C483" s="14">
        <f>IF(B483="","",IFERROR(VLOOKUP(B483,Produtos!$A$5:$B$504,2,FALSE),"código não cadastrado"))</f>
        <v/>
      </c>
      <c r="D483" s="14" t="n"/>
      <c r="E483" s="16" t="n"/>
      <c r="F483" s="14" t="n"/>
    </row>
    <row r="484">
      <c r="A484" s="18" t="n"/>
      <c r="B484" s="14" t="n"/>
      <c r="C484" s="14">
        <f>IF(B484="","",IFERROR(VLOOKUP(B484,Produtos!$A$5:$B$504,2,FALSE),"código não cadastrado"))</f>
        <v/>
      </c>
      <c r="D484" s="14" t="n"/>
      <c r="E484" s="16" t="n"/>
      <c r="F484" s="14" t="n"/>
    </row>
    <row r="485">
      <c r="A485" s="18" t="n"/>
      <c r="B485" s="14" t="n"/>
      <c r="C485" s="14">
        <f>IF(B485="","",IFERROR(VLOOKUP(B485,Produtos!$A$5:$B$504,2,FALSE),"código não cadastrado"))</f>
        <v/>
      </c>
      <c r="D485" s="14" t="n"/>
      <c r="E485" s="16" t="n"/>
      <c r="F485" s="14" t="n"/>
    </row>
    <row r="486">
      <c r="A486" s="18" t="n"/>
      <c r="B486" s="14" t="n"/>
      <c r="C486" s="14">
        <f>IF(B486="","",IFERROR(VLOOKUP(B486,Produtos!$A$5:$B$504,2,FALSE),"código não cadastrado"))</f>
        <v/>
      </c>
      <c r="D486" s="14" t="n"/>
      <c r="E486" s="16" t="n"/>
      <c r="F486" s="14" t="n"/>
    </row>
    <row r="487">
      <c r="A487" s="18" t="n"/>
      <c r="B487" s="14" t="n"/>
      <c r="C487" s="14">
        <f>IF(B487="","",IFERROR(VLOOKUP(B487,Produtos!$A$5:$B$504,2,FALSE),"código não cadastrado"))</f>
        <v/>
      </c>
      <c r="D487" s="14" t="n"/>
      <c r="E487" s="16" t="n"/>
      <c r="F487" s="14" t="n"/>
    </row>
    <row r="488">
      <c r="A488" s="18" t="n"/>
      <c r="B488" s="14" t="n"/>
      <c r="C488" s="14">
        <f>IF(B488="","",IFERROR(VLOOKUP(B488,Produtos!$A$5:$B$504,2,FALSE),"código não cadastrado"))</f>
        <v/>
      </c>
      <c r="D488" s="14" t="n"/>
      <c r="E488" s="16" t="n"/>
      <c r="F488" s="14" t="n"/>
    </row>
    <row r="489">
      <c r="A489" s="18" t="n"/>
      <c r="B489" s="14" t="n"/>
      <c r="C489" s="14">
        <f>IF(B489="","",IFERROR(VLOOKUP(B489,Produtos!$A$5:$B$504,2,FALSE),"código não cadastrado"))</f>
        <v/>
      </c>
      <c r="D489" s="14" t="n"/>
      <c r="E489" s="16" t="n"/>
      <c r="F489" s="14" t="n"/>
    </row>
    <row r="490">
      <c r="A490" s="18" t="n"/>
      <c r="B490" s="14" t="n"/>
      <c r="C490" s="14">
        <f>IF(B490="","",IFERROR(VLOOKUP(B490,Produtos!$A$5:$B$504,2,FALSE),"código não cadastrado"))</f>
        <v/>
      </c>
      <c r="D490" s="14" t="n"/>
      <c r="E490" s="16" t="n"/>
      <c r="F490" s="14" t="n"/>
    </row>
    <row r="491">
      <c r="A491" s="18" t="n"/>
      <c r="B491" s="14" t="n"/>
      <c r="C491" s="14">
        <f>IF(B491="","",IFERROR(VLOOKUP(B491,Produtos!$A$5:$B$504,2,FALSE),"código não cadastrado"))</f>
        <v/>
      </c>
      <c r="D491" s="14" t="n"/>
      <c r="E491" s="16" t="n"/>
      <c r="F491" s="14" t="n"/>
    </row>
    <row r="492">
      <c r="A492" s="18" t="n"/>
      <c r="B492" s="14" t="n"/>
      <c r="C492" s="14">
        <f>IF(B492="","",IFERROR(VLOOKUP(B492,Produtos!$A$5:$B$504,2,FALSE),"código não cadastrado"))</f>
        <v/>
      </c>
      <c r="D492" s="14" t="n"/>
      <c r="E492" s="16" t="n"/>
      <c r="F492" s="14" t="n"/>
    </row>
    <row r="493">
      <c r="A493" s="18" t="n"/>
      <c r="B493" s="14" t="n"/>
      <c r="C493" s="14">
        <f>IF(B493="","",IFERROR(VLOOKUP(B493,Produtos!$A$5:$B$504,2,FALSE),"código não cadastrado"))</f>
        <v/>
      </c>
      <c r="D493" s="14" t="n"/>
      <c r="E493" s="16" t="n"/>
      <c r="F493" s="14" t="n"/>
    </row>
    <row r="494">
      <c r="A494" s="18" t="n"/>
      <c r="B494" s="14" t="n"/>
      <c r="C494" s="14">
        <f>IF(B494="","",IFERROR(VLOOKUP(B494,Produtos!$A$5:$B$504,2,FALSE),"código não cadastrado"))</f>
        <v/>
      </c>
      <c r="D494" s="14" t="n"/>
      <c r="E494" s="16" t="n"/>
      <c r="F494" s="14" t="n"/>
    </row>
    <row r="495">
      <c r="A495" s="18" t="n"/>
      <c r="B495" s="14" t="n"/>
      <c r="C495" s="14">
        <f>IF(B495="","",IFERROR(VLOOKUP(B495,Produtos!$A$5:$B$504,2,FALSE),"código não cadastrado"))</f>
        <v/>
      </c>
      <c r="D495" s="14" t="n"/>
      <c r="E495" s="16" t="n"/>
      <c r="F495" s="14" t="n"/>
    </row>
    <row r="496">
      <c r="A496" s="18" t="n"/>
      <c r="B496" s="14" t="n"/>
      <c r="C496" s="14">
        <f>IF(B496="","",IFERROR(VLOOKUP(B496,Produtos!$A$5:$B$504,2,FALSE),"código não cadastrado"))</f>
        <v/>
      </c>
      <c r="D496" s="14" t="n"/>
      <c r="E496" s="16" t="n"/>
      <c r="F496" s="14" t="n"/>
    </row>
    <row r="497">
      <c r="A497" s="18" t="n"/>
      <c r="B497" s="14" t="n"/>
      <c r="C497" s="14">
        <f>IF(B497="","",IFERROR(VLOOKUP(B497,Produtos!$A$5:$B$504,2,FALSE),"código não cadastrado"))</f>
        <v/>
      </c>
      <c r="D497" s="14" t="n"/>
      <c r="E497" s="16" t="n"/>
      <c r="F497" s="14" t="n"/>
    </row>
    <row r="498">
      <c r="A498" s="18" t="n"/>
      <c r="B498" s="14" t="n"/>
      <c r="C498" s="14">
        <f>IF(B498="","",IFERROR(VLOOKUP(B498,Produtos!$A$5:$B$504,2,FALSE),"código não cadastrado"))</f>
        <v/>
      </c>
      <c r="D498" s="14" t="n"/>
      <c r="E498" s="16" t="n"/>
      <c r="F498" s="14" t="n"/>
    </row>
    <row r="499">
      <c r="A499" s="18" t="n"/>
      <c r="B499" s="14" t="n"/>
      <c r="C499" s="14">
        <f>IF(B499="","",IFERROR(VLOOKUP(B499,Produtos!$A$5:$B$504,2,FALSE),"código não cadastrado"))</f>
        <v/>
      </c>
      <c r="D499" s="14" t="n"/>
      <c r="E499" s="16" t="n"/>
      <c r="F499" s="14" t="n"/>
    </row>
    <row r="500">
      <c r="A500" s="18" t="n"/>
      <c r="B500" s="14" t="n"/>
      <c r="C500" s="14">
        <f>IF(B500="","",IFERROR(VLOOKUP(B500,Produtos!$A$5:$B$504,2,FALSE),"código não cadastrado"))</f>
        <v/>
      </c>
      <c r="D500" s="14" t="n"/>
      <c r="E500" s="16" t="n"/>
      <c r="F500" s="14" t="n"/>
    </row>
    <row r="501">
      <c r="A501" s="18" t="n"/>
      <c r="B501" s="14" t="n"/>
      <c r="C501" s="14">
        <f>IF(B501="","",IFERROR(VLOOKUP(B501,Produtos!$A$5:$B$504,2,FALSE),"código não cadastrado"))</f>
        <v/>
      </c>
      <c r="D501" s="14" t="n"/>
      <c r="E501" s="16" t="n"/>
      <c r="F501" s="14" t="n"/>
    </row>
    <row r="502">
      <c r="A502" s="18" t="n"/>
      <c r="B502" s="14" t="n"/>
      <c r="C502" s="14">
        <f>IF(B502="","",IFERROR(VLOOKUP(B502,Produtos!$A$5:$B$504,2,FALSE),"código não cadastrado"))</f>
        <v/>
      </c>
      <c r="D502" s="14" t="n"/>
      <c r="E502" s="16" t="n"/>
      <c r="F502" s="14" t="n"/>
    </row>
    <row r="503">
      <c r="A503" s="18" t="n"/>
      <c r="B503" s="14" t="n"/>
      <c r="C503" s="14">
        <f>IF(B503="","",IFERROR(VLOOKUP(B503,Produtos!$A$5:$B$504,2,FALSE),"código não cadastrado"))</f>
        <v/>
      </c>
      <c r="D503" s="14" t="n"/>
      <c r="E503" s="16" t="n"/>
      <c r="F503" s="14" t="n"/>
    </row>
    <row r="504">
      <c r="A504" s="18" t="n"/>
      <c r="B504" s="14" t="n"/>
      <c r="C504" s="14">
        <f>IF(B504="","",IFERROR(VLOOKUP(B504,Produtos!$A$5:$B$504,2,FALSE),"código não cadastrado"))</f>
        <v/>
      </c>
      <c r="D504" s="14" t="n"/>
      <c r="E504" s="16" t="n"/>
      <c r="F504" s="14" t="n"/>
    </row>
  </sheetData>
  <dataValidations count="2">
    <dataValidation sqref="B5:B504" showDropDown="0" showInputMessage="0" showErrorMessage="0" allowBlank="1" errorTitle="Valor inválido" error="Escolha um valor da lista." type="list">
      <formula1>=Produtos!$A$5:$A$504</formula1>
    </dataValidation>
    <dataValidation sqref="D5:D504" showDropDown="0" showInputMessage="0" showErrorMessage="0" allowBlank="1" errorTitle="Valor inválido" error="Escolha um valor da lista." type="list">
      <formula1>"Entrada,Saída"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Resolvo Já</dc:creator>
  <dc:title xmlns:dc="http://purl.org/dc/elements/1.1/">controle-de-estoque</dc:title>
  <dcterms:created xmlns:dcterms="http://purl.org/dc/terms/" xmlns:xsi="http://www.w3.org/2001/XMLSchema-instance" xsi:type="dcterms:W3CDTF">2026-10-04T21:08:12Z</dcterms:created>
  <dcterms:modified xmlns:dcterms="http://purl.org/dc/terms/" xmlns:xsi="http://www.w3.org/2001/XMLSchema-instance" xsi:type="dcterms:W3CDTF">2026-10-04T21:08:13Z</dcterms:modified>
</cp:coreProperties>
</file>