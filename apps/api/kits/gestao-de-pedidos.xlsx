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Pedidos" sheetId="3" state="visible" r:id="rId3"/>
    <sheet xmlns:r="http://schemas.openxmlformats.org/officeDocument/2006/relationships" name="Catálo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FFFFFF"/>
      <sz val="13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1" pivotButton="0" quotePrefix="0" xfId="0"/>
    <xf numFmtId="164" fontId="9" fillId="0" borderId="1" applyAlignment="1" pivotButton="0" quotePrefix="0" xfId="0">
      <alignment horizontal="right"/>
    </xf>
    <xf numFmtId="1" fontId="9" fillId="0" borderId="1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Gestão de Pedidos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Na aba Catálogo, cadastre seus produtos ou serviços com o preço de venda.</t>
        </is>
      </c>
    </row>
    <row r="6">
      <c r="A6" s="4" t="n">
        <v>2</v>
      </c>
      <c r="B6" s="5" t="inlineStr">
        <is>
          <t>Na aba Pedidos, registre cada pedido. Se o pedido tiver mais de um produto, use uma linha por produto repetindo o mesmo Nº do pedido.</t>
        </is>
      </c>
    </row>
    <row r="7">
      <c r="A7" s="4" t="n">
        <v>3</v>
      </c>
      <c r="B7" s="5" t="inlineStr">
        <is>
          <t>Escolha o produto na lista: o preço aparece sozinho e o total é calculado (quantidade × preço − desconto).</t>
        </is>
      </c>
    </row>
    <row r="8">
      <c r="A8" s="4" t="n">
        <v>4</v>
      </c>
      <c r="B8" s="5" t="inlineStr">
        <is>
          <t>Atualize a coluna Status conforme o pedido anda: Novo → Em produção → Pronto → Entregue. Pedidos com entrega vencida e ainda não entregues ficam marcados em vermelho como ATRASADO.</t>
        </is>
      </c>
    </row>
    <row r="9">
      <c r="A9" s="4" t="n">
        <v>5</v>
      </c>
      <c r="B9" s="5" t="inlineStr">
        <is>
          <t>No Painel, digite o mês e o ano que quer analisar e veja faturamento, valores a receber e os produtos mais vendidos.</t>
        </is>
      </c>
    </row>
    <row r="11">
      <c r="B11" s="3" t="inlineStr">
        <is>
          <t>Legenda das colunas</t>
        </is>
      </c>
    </row>
    <row r="12">
      <c r="B12" s="6" t="inlineStr">
        <is>
          <t>Cabeçalho azul escuro: você preenche.</t>
        </is>
      </c>
    </row>
    <row r="13">
      <c r="B13" s="7" t="inlineStr">
        <is>
          <t>Cabeçalho azul claro: calculado automaticamente, não precisa mexer.</t>
        </is>
      </c>
    </row>
    <row r="15">
      <c r="B15" s="3" t="inlineStr">
        <is>
          <t>Dicas</t>
        </is>
      </c>
    </row>
    <row r="16">
      <c r="B16" s="5" t="inlineStr">
        <is>
          <t>• Marque Pago = Sim só quando o dinheiro entrar. O Painel mostra quanto ainda falta receber.</t>
        </is>
      </c>
    </row>
    <row r="17">
      <c r="B17" s="5" t="inlineStr">
        <is>
          <t>• Pedidos cancelados não entram no faturamento, mas continuam registrados para você entender os motivos.</t>
        </is>
      </c>
    </row>
    <row r="18">
      <c r="B18" s="5" t="inlineStr">
        <is>
          <t>• Reveja todo dia de manhã os pedidos com entrega para hoje e para amanhã (dá para filtrar a coluna Entrega).</t>
        </is>
      </c>
    </row>
    <row r="20">
      <c r="B20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 ht="28" customHeight="1">
      <c r="A1" s="1" t="inlineStr">
        <is>
          <t>Painel de Pedidos</t>
        </is>
      </c>
    </row>
    <row r="2">
      <c r="A2" s="2" t="inlineStr">
        <is>
          <t>Atualiza sozinho conforme você preenche as outras abas.</t>
        </is>
      </c>
    </row>
    <row r="4">
      <c r="A4" s="9" t="inlineStr">
        <is>
          <t>Mês (1 a 12)</t>
        </is>
      </c>
      <c r="B4" s="10">
        <f>MONTH(TODAY())</f>
        <v/>
      </c>
      <c r="C4" s="11" t="inlineStr">
        <is>
          <t>← troque pelo mês que quer ver (a fórmula padrão mostra o mês atual)</t>
        </is>
      </c>
    </row>
    <row r="5">
      <c r="A5" s="9" t="inlineStr">
        <is>
          <t>Ano</t>
        </is>
      </c>
      <c r="B5" s="10">
        <f>YEAR(TODAY())</f>
        <v/>
      </c>
    </row>
    <row r="7">
      <c r="A7" s="12" t="inlineStr">
        <is>
          <t>Faturamento do mês (sem cancelados)</t>
        </is>
      </c>
      <c r="B7" s="13">
        <f>SUMIFS(Pedidos!$I$5:$I$504,Pedidos!$B$5:$B$504,"&gt;="&amp;DATE($B$5,$B$4,1),Pedidos!$B$5:$B$504,"&lt;"&amp;DATE($B$5,$B$4+1,1),Pedidos!$M$5:$M$504,"&lt;&gt;Cancelado")</f>
        <v/>
      </c>
    </row>
    <row r="8">
      <c r="A8" s="12" t="inlineStr">
        <is>
          <t>A receber no mês (Pago = Não)</t>
        </is>
      </c>
      <c r="B8" s="13">
        <f>SUMIFS(Pedidos!$I$5:$I$504,Pedidos!$B$5:$B$504,"&gt;="&amp;DATE($B$5,$B$4,1),Pedidos!$B$5:$B$504,"&lt;"&amp;DATE($B$5,$B$4+1,1),Pedidos!$M$5:$M$504,"&lt;&gt;Cancelado",Pedidos!$L$5:$L$504,"Não")</f>
        <v/>
      </c>
    </row>
    <row r="9">
      <c r="A9" s="12" t="inlineStr">
        <is>
          <t>Itens vendidos no mês</t>
        </is>
      </c>
      <c r="B9" s="14">
        <f>SUMIFS(Pedidos!$F$5:$F$504,Pedidos!$B$5:$B$504,"&gt;="&amp;DATE($B$5,$B$4,1),Pedidos!$B$5:$B$504,"&lt;"&amp;DATE($B$5,$B$4+1,1),Pedidos!$M$5:$M$504,"&lt;&gt;Cancelado")</f>
        <v/>
      </c>
    </row>
    <row r="10">
      <c r="A10" s="12" t="inlineStr">
        <is>
          <t>Linhas canceladas no mês</t>
        </is>
      </c>
      <c r="B10" s="14">
        <f>COUNTIFS(Pedidos!$B$5:$B$504,"&gt;="&amp;DATE($B$5,$B$4,1),Pedidos!$B$5:$B$504,"&lt;"&amp;DATE($B$5,$B$4+1,1),Pedidos!$M$5:$M$504,"Cancelado")</f>
        <v/>
      </c>
    </row>
    <row r="11">
      <c r="A11" s="12" t="inlineStr">
        <is>
          <t>Pedidos em aberto (todas as datas)</t>
        </is>
      </c>
      <c r="B11" s="14">
        <f>SUMPRODUCT((Pedidos!$E$5:$E$504&lt;&gt;"")*(Pedidos!$M$5:$M$504&lt;&gt;"Entregue")*(Pedidos!$M$5:$M$504&lt;&gt;"Cancelado"))</f>
        <v/>
      </c>
    </row>
    <row r="12">
      <c r="A12" s="12" t="inlineStr">
        <is>
          <t>Linhas ATRASADAS agora</t>
        </is>
      </c>
      <c r="B12" s="14">
        <f>COUNTIF(Pedidos!$N$5:$N$504,"ATRASADO")</f>
        <v/>
      </c>
    </row>
    <row r="15">
      <c r="A15" s="3" t="inlineStr">
        <is>
          <t>Vendas por produto no mês</t>
        </is>
      </c>
    </row>
    <row r="16">
      <c r="A16" s="7" t="inlineStr">
        <is>
          <t>Produto / serviço</t>
        </is>
      </c>
      <c r="B16" s="7" t="inlineStr">
        <is>
          <t>Quantidade</t>
        </is>
      </c>
      <c r="C16" s="7" t="inlineStr">
        <is>
          <t>Faturamento</t>
        </is>
      </c>
    </row>
    <row r="17">
      <c r="A17">
        <f>IF('Catálogo'!A5="","",'Catálogo'!A5)</f>
        <v/>
      </c>
      <c r="B17">
        <f>IF(A17="","",SUMIFS(Pedidos!$F$5:$F$504,Pedidos!$E$5:$E$504,A17,Pedidos!$B$5:$B$504,"&gt;="&amp;DATE($B$5,$B$4,1),Pedidos!$B$5:$B$504,"&lt;"&amp;DATE($B$5,$B$4+1,1),Pedidos!$M$5:$M$504,"&lt;&gt;Cancelado"))</f>
        <v/>
      </c>
      <c r="C17" s="15">
        <f>IF(A17="","",SUMIFS(Pedidos!$I$5:$I$504,Pedidos!$E$5:$E$504,A17,Pedidos!$B$5:$B$504,"&gt;="&amp;DATE($B$5,$B$4,1),Pedidos!$B$5:$B$504,"&lt;"&amp;DATE($B$5,$B$4+1,1),Pedidos!$M$5:$M$504,"&lt;&gt;Cancelado"))</f>
        <v/>
      </c>
    </row>
    <row r="18">
      <c r="A18">
        <f>IF('Catálogo'!A6="","",'Catálogo'!A6)</f>
        <v/>
      </c>
      <c r="B18">
        <f>IF(A18="","",SUMIFS(Pedidos!$F$5:$F$504,Pedidos!$E$5:$E$504,A18,Pedidos!$B$5:$B$504,"&gt;="&amp;DATE($B$5,$B$4,1),Pedidos!$B$5:$B$504,"&lt;"&amp;DATE($B$5,$B$4+1,1),Pedidos!$M$5:$M$504,"&lt;&gt;Cancelado"))</f>
        <v/>
      </c>
      <c r="C18" s="15">
        <f>IF(A18="","",SUMIFS(Pedidos!$I$5:$I$504,Pedidos!$E$5:$E$504,A18,Pedidos!$B$5:$B$504,"&gt;="&amp;DATE($B$5,$B$4,1),Pedidos!$B$5:$B$504,"&lt;"&amp;DATE($B$5,$B$4+1,1),Pedidos!$M$5:$M$504,"&lt;&gt;Cancelado"))</f>
        <v/>
      </c>
    </row>
    <row r="19">
      <c r="A19">
        <f>IF('Catálogo'!A7="","",'Catálogo'!A7)</f>
        <v/>
      </c>
      <c r="B19">
        <f>IF(A19="","",SUMIFS(Pedidos!$F$5:$F$504,Pedidos!$E$5:$E$504,A19,Pedidos!$B$5:$B$504,"&gt;="&amp;DATE($B$5,$B$4,1),Pedidos!$B$5:$B$504,"&lt;"&amp;DATE($B$5,$B$4+1,1),Pedidos!$M$5:$M$504,"&lt;&gt;Cancelado"))</f>
        <v/>
      </c>
      <c r="C19" s="15">
        <f>IF(A19="","",SUMIFS(Pedidos!$I$5:$I$504,Pedidos!$E$5:$E$504,A19,Pedidos!$B$5:$B$504,"&gt;="&amp;DATE($B$5,$B$4,1),Pedidos!$B$5:$B$504,"&lt;"&amp;DATE($B$5,$B$4+1,1),Pedidos!$M$5:$M$504,"&lt;&gt;Cancelado"))</f>
        <v/>
      </c>
    </row>
    <row r="20">
      <c r="A20">
        <f>IF('Catálogo'!A8="","",'Catálogo'!A8)</f>
        <v/>
      </c>
      <c r="B20">
        <f>IF(A20="","",SUMIFS(Pedidos!$F$5:$F$504,Pedidos!$E$5:$E$504,A20,Pedidos!$B$5:$B$504,"&gt;="&amp;DATE($B$5,$B$4,1),Pedidos!$B$5:$B$504,"&lt;"&amp;DATE($B$5,$B$4+1,1),Pedidos!$M$5:$M$504,"&lt;&gt;Cancelado"))</f>
        <v/>
      </c>
      <c r="C20" s="15">
        <f>IF(A20="","",SUMIFS(Pedidos!$I$5:$I$504,Pedidos!$E$5:$E$504,A20,Pedidos!$B$5:$B$504,"&gt;="&amp;DATE($B$5,$B$4,1),Pedidos!$B$5:$B$504,"&lt;"&amp;DATE($B$5,$B$4+1,1),Pedidos!$M$5:$M$504,"&lt;&gt;Cancelado"))</f>
        <v/>
      </c>
    </row>
    <row r="21">
      <c r="A21">
        <f>IF('Catálogo'!A9="","",'Catálogo'!A9)</f>
        <v/>
      </c>
      <c r="B21">
        <f>IF(A21="","",SUMIFS(Pedidos!$F$5:$F$504,Pedidos!$E$5:$E$504,A21,Pedidos!$B$5:$B$504,"&gt;="&amp;DATE($B$5,$B$4,1),Pedidos!$B$5:$B$504,"&lt;"&amp;DATE($B$5,$B$4+1,1),Pedidos!$M$5:$M$504,"&lt;&gt;Cancelado"))</f>
        <v/>
      </c>
      <c r="C21" s="15">
        <f>IF(A21="","",SUMIFS(Pedidos!$I$5:$I$504,Pedidos!$E$5:$E$504,A21,Pedidos!$B$5:$B$504,"&gt;="&amp;DATE($B$5,$B$4,1),Pedidos!$B$5:$B$504,"&lt;"&amp;DATE($B$5,$B$4+1,1),Pedidos!$M$5:$M$504,"&lt;&gt;Cancelado"))</f>
        <v/>
      </c>
    </row>
    <row r="22">
      <c r="A22">
        <f>IF('Catálogo'!A10="","",'Catálogo'!A10)</f>
        <v/>
      </c>
      <c r="B22">
        <f>IF(A22="","",SUMIFS(Pedidos!$F$5:$F$504,Pedidos!$E$5:$E$504,A22,Pedidos!$B$5:$B$504,"&gt;="&amp;DATE($B$5,$B$4,1),Pedidos!$B$5:$B$504,"&lt;"&amp;DATE($B$5,$B$4+1,1),Pedidos!$M$5:$M$504,"&lt;&gt;Cancelado"))</f>
        <v/>
      </c>
      <c r="C22" s="15">
        <f>IF(A22="","",SUMIFS(Pedidos!$I$5:$I$504,Pedidos!$E$5:$E$504,A22,Pedidos!$B$5:$B$504,"&gt;="&amp;DATE($B$5,$B$4,1),Pedidos!$B$5:$B$504,"&lt;"&amp;DATE($B$5,$B$4+1,1),Pedidos!$M$5:$M$504,"&lt;&gt;Cancelado"))</f>
        <v/>
      </c>
    </row>
    <row r="23">
      <c r="A23">
        <f>IF('Catálogo'!A11="","",'Catálogo'!A11)</f>
        <v/>
      </c>
      <c r="B23">
        <f>IF(A23="","",SUMIFS(Pedidos!$F$5:$F$504,Pedidos!$E$5:$E$504,A23,Pedidos!$B$5:$B$504,"&gt;="&amp;DATE($B$5,$B$4,1),Pedidos!$B$5:$B$504,"&lt;"&amp;DATE($B$5,$B$4+1,1),Pedidos!$M$5:$M$504,"&lt;&gt;Cancelado"))</f>
        <v/>
      </c>
      <c r="C23" s="15">
        <f>IF(A23="","",SUMIFS(Pedidos!$I$5:$I$504,Pedidos!$E$5:$E$504,A23,Pedidos!$B$5:$B$504,"&gt;="&amp;DATE($B$5,$B$4,1),Pedidos!$B$5:$B$504,"&lt;"&amp;DATE($B$5,$B$4+1,1),Pedidos!$M$5:$M$504,"&lt;&gt;Cancelado"))</f>
        <v/>
      </c>
    </row>
    <row r="24">
      <c r="A24">
        <f>IF('Catálogo'!A12="","",'Catálogo'!A12)</f>
        <v/>
      </c>
      <c r="B24">
        <f>IF(A24="","",SUMIFS(Pedidos!$F$5:$F$504,Pedidos!$E$5:$E$504,A24,Pedidos!$B$5:$B$504,"&gt;="&amp;DATE($B$5,$B$4,1),Pedidos!$B$5:$B$504,"&lt;"&amp;DATE($B$5,$B$4+1,1),Pedidos!$M$5:$M$504,"&lt;&gt;Cancelado"))</f>
        <v/>
      </c>
      <c r="C24" s="15">
        <f>IF(A24="","",SUMIFS(Pedidos!$I$5:$I$504,Pedidos!$E$5:$E$504,A24,Pedidos!$B$5:$B$504,"&gt;="&amp;DATE($B$5,$B$4,1),Pedidos!$B$5:$B$504,"&lt;"&amp;DATE($B$5,$B$4+1,1),Pedidos!$M$5:$M$504,"&lt;&gt;Cancelado"))</f>
        <v/>
      </c>
    </row>
    <row r="25">
      <c r="A25">
        <f>IF('Catálogo'!A13="","",'Catálogo'!A13)</f>
        <v/>
      </c>
      <c r="B25">
        <f>IF(A25="","",SUMIFS(Pedidos!$F$5:$F$504,Pedidos!$E$5:$E$504,A25,Pedidos!$B$5:$B$504,"&gt;="&amp;DATE($B$5,$B$4,1),Pedidos!$B$5:$B$504,"&lt;"&amp;DATE($B$5,$B$4+1,1),Pedidos!$M$5:$M$504,"&lt;&gt;Cancelado"))</f>
        <v/>
      </c>
      <c r="C25" s="15">
        <f>IF(A25="","",SUMIFS(Pedidos!$I$5:$I$504,Pedidos!$E$5:$E$504,A25,Pedidos!$B$5:$B$504,"&gt;="&amp;DATE($B$5,$B$4,1),Pedidos!$B$5:$B$504,"&lt;"&amp;DATE($B$5,$B$4+1,1),Pedidos!$M$5:$M$504,"&lt;&gt;Cancelado"))</f>
        <v/>
      </c>
    </row>
    <row r="26">
      <c r="A26">
        <f>IF('Catálogo'!A14="","",'Catálogo'!A14)</f>
        <v/>
      </c>
      <c r="B26">
        <f>IF(A26="","",SUMIFS(Pedidos!$F$5:$F$504,Pedidos!$E$5:$E$504,A26,Pedidos!$B$5:$B$504,"&gt;="&amp;DATE($B$5,$B$4,1),Pedidos!$B$5:$B$504,"&lt;"&amp;DATE($B$5,$B$4+1,1),Pedidos!$M$5:$M$504,"&lt;&gt;Cancelado"))</f>
        <v/>
      </c>
      <c r="C26" s="15">
        <f>IF(A26="","",SUMIFS(Pedidos!$I$5:$I$504,Pedidos!$E$5:$E$504,A26,Pedidos!$B$5:$B$504,"&gt;="&amp;DATE($B$5,$B$4,1),Pedidos!$B$5:$B$504,"&lt;"&amp;DATE($B$5,$B$4+1,1),Pedidos!$M$5:$M$504,"&lt;&gt;Cancelado"))</f>
        <v/>
      </c>
    </row>
    <row r="27">
      <c r="A27">
        <f>IF('Catálogo'!A15="","",'Catálogo'!A15)</f>
        <v/>
      </c>
      <c r="B27">
        <f>IF(A27="","",SUMIFS(Pedidos!$F$5:$F$504,Pedidos!$E$5:$E$504,A27,Pedidos!$B$5:$B$504,"&gt;="&amp;DATE($B$5,$B$4,1),Pedidos!$B$5:$B$504,"&lt;"&amp;DATE($B$5,$B$4+1,1),Pedidos!$M$5:$M$504,"&lt;&gt;Cancelado"))</f>
        <v/>
      </c>
      <c r="C27" s="15">
        <f>IF(A27="","",SUMIFS(Pedidos!$I$5:$I$504,Pedidos!$E$5:$E$504,A27,Pedidos!$B$5:$B$504,"&gt;="&amp;DATE($B$5,$B$4,1),Pedidos!$B$5:$B$504,"&lt;"&amp;DATE($B$5,$B$4+1,1),Pedidos!$M$5:$M$504,"&lt;&gt;Cancelado"))</f>
        <v/>
      </c>
    </row>
    <row r="28">
      <c r="A28">
        <f>IF('Catálogo'!A16="","",'Catálogo'!A16)</f>
        <v/>
      </c>
      <c r="B28">
        <f>IF(A28="","",SUMIFS(Pedidos!$F$5:$F$504,Pedidos!$E$5:$E$504,A28,Pedidos!$B$5:$B$504,"&gt;="&amp;DATE($B$5,$B$4,1),Pedidos!$B$5:$B$504,"&lt;"&amp;DATE($B$5,$B$4+1,1),Pedidos!$M$5:$M$504,"&lt;&gt;Cancelado"))</f>
        <v/>
      </c>
      <c r="C28" s="15">
        <f>IF(A28="","",SUMIFS(Pedidos!$I$5:$I$504,Pedidos!$E$5:$E$504,A28,Pedidos!$B$5:$B$504,"&gt;="&amp;DATE($B$5,$B$4,1),Pedidos!$B$5:$B$504,"&lt;"&amp;DATE($B$5,$B$4+1,1),Pedidos!$M$5:$M$504,"&lt;&gt;Cancelado"))</f>
        <v/>
      </c>
    </row>
    <row r="29">
      <c r="A29">
        <f>IF('Catálogo'!A17="","",'Catálogo'!A17)</f>
        <v/>
      </c>
      <c r="B29">
        <f>IF(A29="","",SUMIFS(Pedidos!$F$5:$F$504,Pedidos!$E$5:$E$504,A29,Pedidos!$B$5:$B$504,"&gt;="&amp;DATE($B$5,$B$4,1),Pedidos!$B$5:$B$504,"&lt;"&amp;DATE($B$5,$B$4+1,1),Pedidos!$M$5:$M$504,"&lt;&gt;Cancelado"))</f>
        <v/>
      </c>
      <c r="C29" s="15">
        <f>IF(A29="","",SUMIFS(Pedidos!$I$5:$I$504,Pedidos!$E$5:$E$504,A29,Pedidos!$B$5:$B$504,"&gt;="&amp;DATE($B$5,$B$4,1),Pedidos!$B$5:$B$504,"&lt;"&amp;DATE($B$5,$B$4+1,1),Pedidos!$M$5:$M$504,"&lt;&gt;Cancelado"))</f>
        <v/>
      </c>
    </row>
    <row r="30">
      <c r="A30">
        <f>IF('Catálogo'!A18="","",'Catálogo'!A18)</f>
        <v/>
      </c>
      <c r="B30">
        <f>IF(A30="","",SUMIFS(Pedidos!$F$5:$F$504,Pedidos!$E$5:$E$504,A30,Pedidos!$B$5:$B$504,"&gt;="&amp;DATE($B$5,$B$4,1),Pedidos!$B$5:$B$504,"&lt;"&amp;DATE($B$5,$B$4+1,1),Pedidos!$M$5:$M$504,"&lt;&gt;Cancelado"))</f>
        <v/>
      </c>
      <c r="C30" s="15">
        <f>IF(A30="","",SUMIFS(Pedidos!$I$5:$I$504,Pedidos!$E$5:$E$504,A30,Pedidos!$B$5:$B$504,"&gt;="&amp;DATE($B$5,$B$4,1),Pedidos!$B$5:$B$504,"&lt;"&amp;DATE($B$5,$B$4+1,1),Pedidos!$M$5:$M$504,"&lt;&gt;Cancelado"))</f>
        <v/>
      </c>
    </row>
    <row r="31">
      <c r="A31">
        <f>IF('Catálogo'!A19="","",'Catálogo'!A19)</f>
        <v/>
      </c>
      <c r="B31">
        <f>IF(A31="","",SUMIFS(Pedidos!$F$5:$F$504,Pedidos!$E$5:$E$504,A31,Pedidos!$B$5:$B$504,"&gt;="&amp;DATE($B$5,$B$4,1),Pedidos!$B$5:$B$504,"&lt;"&amp;DATE($B$5,$B$4+1,1),Pedidos!$M$5:$M$504,"&lt;&gt;Cancelado"))</f>
        <v/>
      </c>
      <c r="C31" s="15">
        <f>IF(A31="","",SUMIFS(Pedidos!$I$5:$I$504,Pedidos!$E$5:$E$504,A31,Pedidos!$B$5:$B$504,"&gt;="&amp;DATE($B$5,$B$4,1),Pedidos!$B$5:$B$504,"&lt;"&amp;DATE($B$5,$B$4+1,1),Pedidos!$M$5:$M$504,"&lt;&gt;Cancelado"))</f>
        <v/>
      </c>
    </row>
    <row r="32">
      <c r="A32">
        <f>IF('Catálogo'!A20="","",'Catálogo'!A20)</f>
        <v/>
      </c>
      <c r="B32">
        <f>IF(A32="","",SUMIFS(Pedidos!$F$5:$F$504,Pedidos!$E$5:$E$504,A32,Pedidos!$B$5:$B$504,"&gt;="&amp;DATE($B$5,$B$4,1),Pedidos!$B$5:$B$504,"&lt;"&amp;DATE($B$5,$B$4+1,1),Pedidos!$M$5:$M$504,"&lt;&gt;Cancelado"))</f>
        <v/>
      </c>
      <c r="C32" s="15">
        <f>IF(A32="","",SUMIFS(Pedidos!$I$5:$I$504,Pedidos!$E$5:$E$504,A32,Pedidos!$B$5:$B$504,"&gt;="&amp;DATE($B$5,$B$4,1),Pedidos!$B$5:$B$504,"&lt;"&amp;DATE($B$5,$B$4+1,1),Pedidos!$M$5:$M$504,"&lt;&gt;Cancelado"))</f>
        <v/>
      </c>
    </row>
    <row r="33">
      <c r="A33">
        <f>IF('Catálogo'!A21="","",'Catálogo'!A21)</f>
        <v/>
      </c>
      <c r="B33">
        <f>IF(A33="","",SUMIFS(Pedidos!$F$5:$F$504,Pedidos!$E$5:$E$504,A33,Pedidos!$B$5:$B$504,"&gt;="&amp;DATE($B$5,$B$4,1),Pedidos!$B$5:$B$504,"&lt;"&amp;DATE($B$5,$B$4+1,1),Pedidos!$M$5:$M$504,"&lt;&gt;Cancelado"))</f>
        <v/>
      </c>
      <c r="C33" s="15">
        <f>IF(A33="","",SUMIFS(Pedidos!$I$5:$I$504,Pedidos!$E$5:$E$504,A33,Pedidos!$B$5:$B$504,"&gt;="&amp;DATE($B$5,$B$4,1),Pedidos!$B$5:$B$504,"&lt;"&amp;DATE($B$5,$B$4+1,1),Pedidos!$M$5:$M$504,"&lt;&gt;Cancelado"))</f>
        <v/>
      </c>
    </row>
    <row r="34">
      <c r="A34">
        <f>IF('Catálogo'!A22="","",'Catálogo'!A22)</f>
        <v/>
      </c>
      <c r="B34">
        <f>IF(A34="","",SUMIFS(Pedidos!$F$5:$F$504,Pedidos!$E$5:$E$504,A34,Pedidos!$B$5:$B$504,"&gt;="&amp;DATE($B$5,$B$4,1),Pedidos!$B$5:$B$504,"&lt;"&amp;DATE($B$5,$B$4+1,1),Pedidos!$M$5:$M$504,"&lt;&gt;Cancelado"))</f>
        <v/>
      </c>
      <c r="C34" s="15">
        <f>IF(A34="","",SUMIFS(Pedidos!$I$5:$I$504,Pedidos!$E$5:$E$504,A34,Pedidos!$B$5:$B$504,"&gt;="&amp;DATE($B$5,$B$4,1),Pedidos!$B$5:$B$504,"&lt;"&amp;DATE($B$5,$B$4+1,1),Pedidos!$M$5:$M$504,"&lt;&gt;Cancelado"))</f>
        <v/>
      </c>
    </row>
    <row r="35">
      <c r="A35">
        <f>IF('Catálogo'!A23="","",'Catálogo'!A23)</f>
        <v/>
      </c>
      <c r="B35">
        <f>IF(A35="","",SUMIFS(Pedidos!$F$5:$F$504,Pedidos!$E$5:$E$504,A35,Pedidos!$B$5:$B$504,"&gt;="&amp;DATE($B$5,$B$4,1),Pedidos!$B$5:$B$504,"&lt;"&amp;DATE($B$5,$B$4+1,1),Pedidos!$M$5:$M$504,"&lt;&gt;Cancelado"))</f>
        <v/>
      </c>
      <c r="C35" s="15">
        <f>IF(A35="","",SUMIFS(Pedidos!$I$5:$I$504,Pedidos!$E$5:$E$504,A35,Pedidos!$B$5:$B$504,"&gt;="&amp;DATE($B$5,$B$4,1),Pedidos!$B$5:$B$504,"&lt;"&amp;DATE($B$5,$B$4+1,1),Pedidos!$M$5:$M$504,"&lt;&gt;Cancelado"))</f>
        <v/>
      </c>
    </row>
    <row r="36">
      <c r="A36">
        <f>IF('Catálogo'!A24="","",'Catálogo'!A24)</f>
        <v/>
      </c>
      <c r="B36">
        <f>IF(A36="","",SUMIFS(Pedidos!$F$5:$F$504,Pedidos!$E$5:$E$504,A36,Pedidos!$B$5:$B$504,"&gt;="&amp;DATE($B$5,$B$4,1),Pedidos!$B$5:$B$504,"&lt;"&amp;DATE($B$5,$B$4+1,1),Pedidos!$M$5:$M$504,"&lt;&gt;Cancelado"))</f>
        <v/>
      </c>
      <c r="C36" s="15">
        <f>IF(A36="","",SUMIFS(Pedidos!$I$5:$I$504,Pedidos!$E$5:$E$504,A36,Pedidos!$B$5:$B$504,"&gt;="&amp;DATE($B$5,$B$4,1),Pedidos!$B$5:$B$504,"&lt;"&amp;DATE($B$5,$B$4+1,1),Pedidos!$M$5:$M$504,"&lt;&gt;Cancelado"))</f>
        <v/>
      </c>
    </row>
    <row r="37">
      <c r="A37">
        <f>IF('Catálogo'!A25="","",'Catálogo'!A25)</f>
        <v/>
      </c>
      <c r="B37">
        <f>IF(A37="","",SUMIFS(Pedidos!$F$5:$F$504,Pedidos!$E$5:$E$504,A37,Pedidos!$B$5:$B$504,"&gt;="&amp;DATE($B$5,$B$4,1),Pedidos!$B$5:$B$504,"&lt;"&amp;DATE($B$5,$B$4+1,1),Pedidos!$M$5:$M$504,"&lt;&gt;Cancelado"))</f>
        <v/>
      </c>
      <c r="C37" s="15">
        <f>IF(A37="","",SUMIFS(Pedidos!$I$5:$I$504,Pedidos!$E$5:$E$504,A37,Pedidos!$B$5:$B$504,"&gt;="&amp;DATE($B$5,$B$4,1),Pedidos!$B$5:$B$504,"&lt;"&amp;DATE($B$5,$B$4+1,1),Pedidos!$M$5:$M$504,"&lt;&gt;Cancelado"))</f>
        <v/>
      </c>
    </row>
    <row r="38">
      <c r="A38">
        <f>IF('Catálogo'!A26="","",'Catálogo'!A26)</f>
        <v/>
      </c>
      <c r="B38">
        <f>IF(A38="","",SUMIFS(Pedidos!$F$5:$F$504,Pedidos!$E$5:$E$504,A38,Pedidos!$B$5:$B$504,"&gt;="&amp;DATE($B$5,$B$4,1),Pedidos!$B$5:$B$504,"&lt;"&amp;DATE($B$5,$B$4+1,1),Pedidos!$M$5:$M$504,"&lt;&gt;Cancelado"))</f>
        <v/>
      </c>
      <c r="C38" s="15">
        <f>IF(A38="","",SUMIFS(Pedidos!$I$5:$I$504,Pedidos!$E$5:$E$504,A38,Pedidos!$B$5:$B$504,"&gt;="&amp;DATE($B$5,$B$4,1),Pedidos!$B$5:$B$504,"&lt;"&amp;DATE($B$5,$B$4+1,1),Pedidos!$M$5:$M$504,"&lt;&gt;Cancelado"))</f>
        <v/>
      </c>
    </row>
    <row r="39">
      <c r="A39">
        <f>IF('Catálogo'!A27="","",'Catálogo'!A27)</f>
        <v/>
      </c>
      <c r="B39">
        <f>IF(A39="","",SUMIFS(Pedidos!$F$5:$F$504,Pedidos!$E$5:$E$504,A39,Pedidos!$B$5:$B$504,"&gt;="&amp;DATE($B$5,$B$4,1),Pedidos!$B$5:$B$504,"&lt;"&amp;DATE($B$5,$B$4+1,1),Pedidos!$M$5:$M$504,"&lt;&gt;Cancelado"))</f>
        <v/>
      </c>
      <c r="C39" s="15">
        <f>IF(A39="","",SUMIFS(Pedidos!$I$5:$I$504,Pedidos!$E$5:$E$504,A39,Pedidos!$B$5:$B$504,"&gt;="&amp;DATE($B$5,$B$4,1),Pedidos!$B$5:$B$504,"&lt;"&amp;DATE($B$5,$B$4+1,1),Pedidos!$M$5:$M$504,"&lt;&gt;Cancelado"))</f>
        <v/>
      </c>
    </row>
    <row r="40">
      <c r="A40">
        <f>IF('Catálogo'!A28="","",'Catálogo'!A28)</f>
        <v/>
      </c>
      <c r="B40">
        <f>IF(A40="","",SUMIFS(Pedidos!$F$5:$F$504,Pedidos!$E$5:$E$504,A40,Pedidos!$B$5:$B$504,"&gt;="&amp;DATE($B$5,$B$4,1),Pedidos!$B$5:$B$504,"&lt;"&amp;DATE($B$5,$B$4+1,1),Pedidos!$M$5:$M$504,"&lt;&gt;Cancelado"))</f>
        <v/>
      </c>
      <c r="C40" s="15">
        <f>IF(A40="","",SUMIFS(Pedidos!$I$5:$I$504,Pedidos!$E$5:$E$504,A40,Pedidos!$B$5:$B$504,"&gt;="&amp;DATE($B$5,$B$4,1),Pedidos!$B$5:$B$504,"&lt;"&amp;DATE($B$5,$B$4+1,1),Pedidos!$M$5:$M$504,"&lt;&gt;Cancelado"))</f>
        <v/>
      </c>
    </row>
    <row r="41">
      <c r="A41">
        <f>IF('Catálogo'!A29="","",'Catálogo'!A29)</f>
        <v/>
      </c>
      <c r="B41">
        <f>IF(A41="","",SUMIFS(Pedidos!$F$5:$F$504,Pedidos!$E$5:$E$504,A41,Pedidos!$B$5:$B$504,"&gt;="&amp;DATE($B$5,$B$4,1),Pedidos!$B$5:$B$504,"&lt;"&amp;DATE($B$5,$B$4+1,1),Pedidos!$M$5:$M$504,"&lt;&gt;Cancelado"))</f>
        <v/>
      </c>
      <c r="C41" s="15">
        <f>IF(A41="","",SUMIFS(Pedidos!$I$5:$I$504,Pedidos!$E$5:$E$504,A41,Pedidos!$B$5:$B$504,"&gt;="&amp;DATE($B$5,$B$4,1),Pedidos!$B$5:$B$504,"&lt;"&amp;DATE($B$5,$B$4+1,1),Pedidos!$M$5:$M$504,"&lt;&gt;Cancelado"))</f>
        <v/>
      </c>
    </row>
    <row r="42">
      <c r="A42">
        <f>IF('Catálogo'!A30="","",'Catálogo'!A30)</f>
        <v/>
      </c>
      <c r="B42">
        <f>IF(A42="","",SUMIFS(Pedidos!$F$5:$F$504,Pedidos!$E$5:$E$504,A42,Pedidos!$B$5:$B$504,"&gt;="&amp;DATE($B$5,$B$4,1),Pedidos!$B$5:$B$504,"&lt;"&amp;DATE($B$5,$B$4+1,1),Pedidos!$M$5:$M$504,"&lt;&gt;Cancelado"))</f>
        <v/>
      </c>
      <c r="C42" s="15">
        <f>IF(A42="","",SUMIFS(Pedidos!$I$5:$I$504,Pedidos!$E$5:$E$504,A42,Pedidos!$B$5:$B$504,"&gt;="&amp;DATE($B$5,$B$4,1),Pedidos!$B$5:$B$504,"&lt;"&amp;DATE($B$5,$B$4+1,1),Pedidos!$M$5:$M$504,"&lt;&gt;Cancelado"))</f>
        <v/>
      </c>
    </row>
    <row r="43">
      <c r="A43">
        <f>IF('Catálogo'!A31="","",'Catálogo'!A31)</f>
        <v/>
      </c>
      <c r="B43">
        <f>IF(A43="","",SUMIFS(Pedidos!$F$5:$F$504,Pedidos!$E$5:$E$504,A43,Pedidos!$B$5:$B$504,"&gt;="&amp;DATE($B$5,$B$4,1),Pedidos!$B$5:$B$504,"&lt;"&amp;DATE($B$5,$B$4+1,1),Pedidos!$M$5:$M$504,"&lt;&gt;Cancelado"))</f>
        <v/>
      </c>
      <c r="C43" s="15">
        <f>IF(A43="","",SUMIFS(Pedidos!$I$5:$I$504,Pedidos!$E$5:$E$504,A43,Pedidos!$B$5:$B$504,"&gt;="&amp;DATE($B$5,$B$4,1),Pedidos!$B$5:$B$504,"&lt;"&amp;DATE($B$5,$B$4+1,1),Pedidos!$M$5:$M$504,"&lt;&gt;Cancelado"))</f>
        <v/>
      </c>
    </row>
    <row r="44">
      <c r="A44">
        <f>IF('Catálogo'!A32="","",'Catálogo'!A32)</f>
        <v/>
      </c>
      <c r="B44">
        <f>IF(A44="","",SUMIFS(Pedidos!$F$5:$F$504,Pedidos!$E$5:$E$504,A44,Pedidos!$B$5:$B$504,"&gt;="&amp;DATE($B$5,$B$4,1),Pedidos!$B$5:$B$504,"&lt;"&amp;DATE($B$5,$B$4+1,1),Pedidos!$M$5:$M$504,"&lt;&gt;Cancelado"))</f>
        <v/>
      </c>
      <c r="C44" s="15">
        <f>IF(A44="","",SUMIFS(Pedidos!$I$5:$I$504,Pedidos!$E$5:$E$504,A44,Pedidos!$B$5:$B$504,"&gt;="&amp;DATE($B$5,$B$4,1),Pedidos!$B$5:$B$504,"&lt;"&amp;DATE($B$5,$B$4+1,1),Pedidos!$M$5:$M$504,"&lt;&gt;Cancelado"))</f>
        <v/>
      </c>
    </row>
    <row r="45">
      <c r="A45">
        <f>IF('Catálogo'!A33="","",'Catálogo'!A33)</f>
        <v/>
      </c>
      <c r="B45">
        <f>IF(A45="","",SUMIFS(Pedidos!$F$5:$F$504,Pedidos!$E$5:$E$504,A45,Pedidos!$B$5:$B$504,"&gt;="&amp;DATE($B$5,$B$4,1),Pedidos!$B$5:$B$504,"&lt;"&amp;DATE($B$5,$B$4+1,1),Pedidos!$M$5:$M$504,"&lt;&gt;Cancelado"))</f>
        <v/>
      </c>
      <c r="C45" s="15">
        <f>IF(A45="","",SUMIFS(Pedidos!$I$5:$I$504,Pedidos!$E$5:$E$504,A45,Pedidos!$B$5:$B$504,"&gt;="&amp;DATE($B$5,$B$4,1),Pedidos!$B$5:$B$504,"&lt;"&amp;DATE($B$5,$B$4+1,1),Pedidos!$M$5:$M$504,"&lt;&gt;Cancelado"))</f>
        <v/>
      </c>
    </row>
    <row r="46">
      <c r="A46">
        <f>IF('Catálogo'!A34="","",'Catálogo'!A34)</f>
        <v/>
      </c>
      <c r="B46">
        <f>IF(A46="","",SUMIFS(Pedidos!$F$5:$F$504,Pedidos!$E$5:$E$504,A46,Pedidos!$B$5:$B$504,"&gt;="&amp;DATE($B$5,$B$4,1),Pedidos!$B$5:$B$504,"&lt;"&amp;DATE($B$5,$B$4+1,1),Pedidos!$M$5:$M$504,"&lt;&gt;Cancelado"))</f>
        <v/>
      </c>
      <c r="C46" s="15">
        <f>IF(A46="","",SUMIFS(Pedidos!$I$5:$I$504,Pedidos!$E$5:$E$504,A46,Pedidos!$B$5:$B$504,"&gt;="&amp;DATE($B$5,$B$4,1),Pedidos!$B$5:$B$504,"&lt;"&amp;DATE($B$5,$B$4+1,1),Pedidos!$M$5:$M$504,"&lt;&gt;Cancelado"))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5" customWidth="1" min="4" max="4"/>
    <col width="28" customWidth="1" min="5" max="5"/>
    <col width="7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8" customWidth="1" min="12" max="12"/>
    <col width="14" customWidth="1" min="13" max="13"/>
    <col width="12" customWidth="1" min="14" max="14"/>
  </cols>
  <sheetData>
    <row r="1" ht="28" customHeight="1">
      <c r="A1" s="1" t="inlineStr">
        <is>
          <t>Pedidos</t>
        </is>
      </c>
    </row>
    <row r="2">
      <c r="A2" s="2" t="inlineStr">
        <is>
          <t>Uma linha por produto do pedido. Mesmo Nº = mesmo pedido.</t>
        </is>
      </c>
    </row>
    <row r="4" ht="32" customHeight="1">
      <c r="A4" s="16" t="inlineStr">
        <is>
          <t>Nº pedido</t>
        </is>
      </c>
      <c r="B4" s="16" t="inlineStr">
        <is>
          <t>Data do pedido</t>
        </is>
      </c>
      <c r="C4" s="16" t="inlineStr">
        <is>
          <t>Cliente</t>
        </is>
      </c>
      <c r="D4" s="16" t="inlineStr">
        <is>
          <t>Telefone</t>
        </is>
      </c>
      <c r="E4" s="16" t="inlineStr">
        <is>
          <t>Produto</t>
        </is>
      </c>
      <c r="F4" s="16" t="inlineStr">
        <is>
          <t>Qtd</t>
        </is>
      </c>
      <c r="G4" s="17" t="inlineStr">
        <is>
          <t>Preço unitário</t>
        </is>
      </c>
      <c r="H4" s="16" t="inlineStr">
        <is>
          <t>Desconto (R$)</t>
        </is>
      </c>
      <c r="I4" s="17" t="inlineStr">
        <is>
          <t>Total</t>
        </is>
      </c>
      <c r="J4" s="16" t="inlineStr">
        <is>
          <t>Entrega</t>
        </is>
      </c>
      <c r="K4" s="16" t="inlineStr">
        <is>
          <t>Pagamento</t>
        </is>
      </c>
      <c r="L4" s="16" t="inlineStr">
        <is>
          <t>Pago?</t>
        </is>
      </c>
      <c r="M4" s="16" t="inlineStr">
        <is>
          <t>Status</t>
        </is>
      </c>
      <c r="N4" s="17" t="inlineStr">
        <is>
          <t>Alerta</t>
        </is>
      </c>
    </row>
    <row r="5">
      <c r="A5" s="18" t="n">
        <v>101</v>
      </c>
      <c r="B5" s="19">
        <f>TODAY()+(-6)</f>
        <v/>
      </c>
      <c r="C5" s="20" t="inlineStr">
        <is>
          <t>Mariana Souza</t>
        </is>
      </c>
      <c r="D5" s="20" t="inlineStr">
        <is>
          <t>(11) 90000-0001</t>
        </is>
      </c>
      <c r="E5" s="20" t="inlineStr">
        <is>
          <t>Bolo de pote</t>
        </is>
      </c>
      <c r="F5" s="18" t="n">
        <v>6</v>
      </c>
      <c r="G5" s="21">
        <f>IF(E5="","",IFERROR(VLOOKUP(E5,'Catálogo'!$A$5:$B$504,2,FALSE),0))</f>
        <v/>
      </c>
      <c r="H5" s="21" t="n">
        <v>0</v>
      </c>
      <c r="I5" s="21">
        <f>IF(E5="","",MAX(F5*G5-N(H5),0))</f>
        <v/>
      </c>
      <c r="J5" s="19">
        <f>TODAY()+(-4)</f>
        <v/>
      </c>
      <c r="K5" s="20" t="inlineStr">
        <is>
          <t>Pix</t>
        </is>
      </c>
      <c r="L5" s="20" t="inlineStr">
        <is>
          <t>Sim</t>
        </is>
      </c>
      <c r="M5" s="20" t="inlineStr">
        <is>
          <t>Entregue</t>
        </is>
      </c>
      <c r="N5" s="20">
        <f>IF(OR(E5="",M5="Entregue",M5="Cancelado",J5=""),"",IF(J5&lt;TODAY(),"ATRASADO",IF(J5=TODAY(),"ENTREGA HOJE","")))</f>
        <v/>
      </c>
    </row>
    <row r="6">
      <c r="A6" s="18" t="n">
        <v>102</v>
      </c>
      <c r="B6" s="19">
        <f>TODAY()+(-5)</f>
        <v/>
      </c>
      <c r="C6" s="20" t="inlineStr">
        <is>
          <t>Carlos Lima</t>
        </is>
      </c>
      <c r="D6" s="20" t="inlineStr">
        <is>
          <t>(11) 90000-0002</t>
        </is>
      </c>
      <c r="E6" s="20" t="inlineStr">
        <is>
          <t>Brigadeiro gourmet (cento)</t>
        </is>
      </c>
      <c r="F6" s="18" t="n">
        <v>2</v>
      </c>
      <c r="G6" s="21">
        <f>IF(E6="","",IFERROR(VLOOKUP(E6,'Catálogo'!$A$5:$B$504,2,FALSE),0))</f>
        <v/>
      </c>
      <c r="H6" s="21" t="n">
        <v>20</v>
      </c>
      <c r="I6" s="21">
        <f>IF(E6="","",MAX(F6*G6-N(H6),0))</f>
        <v/>
      </c>
      <c r="J6" s="19">
        <f>TODAY()+(-1)</f>
        <v/>
      </c>
      <c r="K6" s="20" t="inlineStr">
        <is>
          <t>Cartão de crédito</t>
        </is>
      </c>
      <c r="L6" s="20" t="inlineStr">
        <is>
          <t>Sim</t>
        </is>
      </c>
      <c r="M6" s="20" t="inlineStr">
        <is>
          <t>Entregue</t>
        </is>
      </c>
      <c r="N6" s="20">
        <f>IF(OR(E6="",M6="Entregue",M6="Cancelado",J6=""),"",IF(J6&lt;TODAY(),"ATRASADO",IF(J6=TODAY(),"ENTREGA HOJE","")))</f>
        <v/>
      </c>
    </row>
    <row r="7">
      <c r="A7" s="18" t="n">
        <v>102</v>
      </c>
      <c r="B7" s="19">
        <f>TODAY()+(-5)</f>
        <v/>
      </c>
      <c r="C7" s="20" t="inlineStr">
        <is>
          <t>Carlos Lima</t>
        </is>
      </c>
      <c r="D7" s="20" t="inlineStr">
        <is>
          <t>(11) 90000-0002</t>
        </is>
      </c>
      <c r="E7" s="20" t="inlineStr">
        <is>
          <t>Taxa de entrega</t>
        </is>
      </c>
      <c r="F7" s="18" t="n">
        <v>1</v>
      </c>
      <c r="G7" s="21">
        <f>IF(E7="","",IFERROR(VLOOKUP(E7,'Catálogo'!$A$5:$B$504,2,FALSE),0))</f>
        <v/>
      </c>
      <c r="H7" s="21" t="n">
        <v>0</v>
      </c>
      <c r="I7" s="21">
        <f>IF(E7="","",MAX(F7*G7-N(H7),0))</f>
        <v/>
      </c>
      <c r="J7" s="19">
        <f>TODAY()+(-1)</f>
        <v/>
      </c>
      <c r="K7" s="20" t="inlineStr">
        <is>
          <t>Cartão de crédito</t>
        </is>
      </c>
      <c r="L7" s="20" t="inlineStr">
        <is>
          <t>Sim</t>
        </is>
      </c>
      <c r="M7" s="20" t="inlineStr">
        <is>
          <t>Entregue</t>
        </is>
      </c>
      <c r="N7" s="20">
        <f>IF(OR(E7="",M7="Entregue",M7="Cancelado",J7=""),"",IF(J7&lt;TODAY(),"ATRASADO",IF(J7=TODAY(),"ENTREGA HOJE","")))</f>
        <v/>
      </c>
    </row>
    <row r="8">
      <c r="A8" s="18" t="n">
        <v>103</v>
      </c>
      <c r="B8" s="19">
        <f>TODAY()+(-3)</f>
        <v/>
      </c>
      <c r="C8" s="20" t="inlineStr">
        <is>
          <t>Ana Paula</t>
        </is>
      </c>
      <c r="D8" s="20" t="inlineStr">
        <is>
          <t>(11) 90000-0003</t>
        </is>
      </c>
      <c r="E8" s="20" t="inlineStr">
        <is>
          <t>Torta de limão inteira</t>
        </is>
      </c>
      <c r="F8" s="18" t="n">
        <v>1</v>
      </c>
      <c r="G8" s="21">
        <f>IF(E8="","",IFERROR(VLOOKUP(E8,'Catálogo'!$A$5:$B$504,2,FALSE),0))</f>
        <v/>
      </c>
      <c r="H8" s="21" t="n">
        <v>0</v>
      </c>
      <c r="I8" s="21">
        <f>IF(E8="","",MAX(F8*G8-N(H8),0))</f>
        <v/>
      </c>
      <c r="J8" s="19">
        <f>TODAY()+(-1)</f>
        <v/>
      </c>
      <c r="K8" s="20" t="inlineStr">
        <is>
          <t>Pix</t>
        </is>
      </c>
      <c r="L8" s="20" t="inlineStr">
        <is>
          <t>Não</t>
        </is>
      </c>
      <c r="M8" s="20" t="inlineStr">
        <is>
          <t>Pronto</t>
        </is>
      </c>
      <c r="N8" s="20">
        <f>IF(OR(E8="",M8="Entregue",M8="Cancelado",J8=""),"",IF(J8&lt;TODAY(),"ATRASADO",IF(J8=TODAY(),"ENTREGA HOJE","")))</f>
        <v/>
      </c>
    </row>
    <row r="9">
      <c r="A9" s="18" t="n">
        <v>104</v>
      </c>
      <c r="B9" s="19">
        <f>TODAY()+(-2)</f>
        <v/>
      </c>
      <c r="C9" s="20" t="inlineStr">
        <is>
          <t>Buffet Alegria</t>
        </is>
      </c>
      <c r="D9" s="20" t="inlineStr">
        <is>
          <t>(11) 90000-0004</t>
        </is>
      </c>
      <c r="E9" s="20" t="inlineStr">
        <is>
          <t>Kit festa 20 pessoas</t>
        </is>
      </c>
      <c r="F9" s="18" t="n">
        <v>2</v>
      </c>
      <c r="G9" s="21">
        <f>IF(E9="","",IFERROR(VLOOKUP(E9,'Catálogo'!$A$5:$B$504,2,FALSE),0))</f>
        <v/>
      </c>
      <c r="H9" s="21" t="n">
        <v>30</v>
      </c>
      <c r="I9" s="21">
        <f>IF(E9="","",MAX(F9*G9-N(H9),0))</f>
        <v/>
      </c>
      <c r="J9" s="19">
        <f>TODAY()+(0)</f>
        <v/>
      </c>
      <c r="K9" s="20" t="inlineStr">
        <is>
          <t>Boleto</t>
        </is>
      </c>
      <c r="L9" s="20" t="inlineStr">
        <is>
          <t>Não</t>
        </is>
      </c>
      <c r="M9" s="20" t="inlineStr">
        <is>
          <t>Em produção</t>
        </is>
      </c>
      <c r="N9" s="20">
        <f>IF(OR(E9="",M9="Entregue",M9="Cancelado",J9=""),"",IF(J9&lt;TODAY(),"ATRASADO",IF(J9=TODAY(),"ENTREGA HOJE","")))</f>
        <v/>
      </c>
    </row>
    <row r="10">
      <c r="A10" s="18" t="n">
        <v>105</v>
      </c>
      <c r="B10" s="19">
        <f>TODAY()+(-1)</f>
        <v/>
      </c>
      <c r="C10" s="20" t="inlineStr">
        <is>
          <t>João Pedro</t>
        </is>
      </c>
      <c r="D10" s="20" t="inlineStr">
        <is>
          <t>(11) 90000-0005</t>
        </is>
      </c>
      <c r="E10" s="20" t="inlineStr">
        <is>
          <t>Bolo de pote</t>
        </is>
      </c>
      <c r="F10" s="18" t="n">
        <v>10</v>
      </c>
      <c r="G10" s="21">
        <f>IF(E10="","",IFERROR(VLOOKUP(E10,'Catálogo'!$A$5:$B$504,2,FALSE),0))</f>
        <v/>
      </c>
      <c r="H10" s="21" t="n">
        <v>0</v>
      </c>
      <c r="I10" s="21">
        <f>IF(E10="","",MAX(F10*G10-N(H10),0))</f>
        <v/>
      </c>
      <c r="J10" s="19">
        <f>TODAY()+(2)</f>
        <v/>
      </c>
      <c r="K10" s="20" t="inlineStr">
        <is>
          <t>Dinheiro</t>
        </is>
      </c>
      <c r="L10" s="20" t="inlineStr">
        <is>
          <t>Não</t>
        </is>
      </c>
      <c r="M10" s="20" t="inlineStr">
        <is>
          <t>Novo</t>
        </is>
      </c>
      <c r="N10" s="20">
        <f>IF(OR(E10="",M10="Entregue",M10="Cancelado",J10=""),"",IF(J10&lt;TODAY(),"ATRASADO",IF(J10=TODAY(),"ENTREGA HOJE","")))</f>
        <v/>
      </c>
    </row>
    <row r="11">
      <c r="A11" s="18" t="n">
        <v>106</v>
      </c>
      <c r="B11" s="19">
        <f>TODAY()+(-1)</f>
        <v/>
      </c>
      <c r="C11" s="20" t="inlineStr">
        <is>
          <t>Fernanda Reis</t>
        </is>
      </c>
      <c r="D11" s="20" t="inlineStr">
        <is>
          <t>(11) 90000-0006</t>
        </is>
      </c>
      <c r="E11" s="20" t="inlineStr">
        <is>
          <t>Torta de limão inteira</t>
        </is>
      </c>
      <c r="F11" s="18" t="n">
        <v>1</v>
      </c>
      <c r="G11" s="21">
        <f>IF(E11="","",IFERROR(VLOOKUP(E11,'Catálogo'!$A$5:$B$504,2,FALSE),0))</f>
        <v/>
      </c>
      <c r="H11" s="21" t="n">
        <v>0</v>
      </c>
      <c r="I11" s="21">
        <f>IF(E11="","",MAX(F11*G11-N(H11),0))</f>
        <v/>
      </c>
      <c r="J11" s="19">
        <f>TODAY()+(3)</f>
        <v/>
      </c>
      <c r="K11" s="20" t="inlineStr">
        <is>
          <t>Pix</t>
        </is>
      </c>
      <c r="L11" s="20" t="inlineStr">
        <is>
          <t>Sim</t>
        </is>
      </c>
      <c r="M11" s="20" t="inlineStr">
        <is>
          <t>Cancelado</t>
        </is>
      </c>
      <c r="N11" s="20">
        <f>IF(OR(E11="",M11="Entregue",M11="Cancelado",J11=""),"",IF(J11&lt;TODAY(),"ATRASADO",IF(J11=TODAY(),"ENTREGA HOJE","")))</f>
        <v/>
      </c>
    </row>
    <row r="12">
      <c r="A12" s="18" t="n"/>
      <c r="B12" s="19" t="n"/>
      <c r="C12" s="20" t="n"/>
      <c r="D12" s="20" t="n"/>
      <c r="E12" s="20" t="n"/>
      <c r="F12" s="18" t="n"/>
      <c r="G12" s="21">
        <f>IF(E12="","",IFERROR(VLOOKUP(E12,'Catálogo'!$A$5:$B$504,2,FALSE),0))</f>
        <v/>
      </c>
      <c r="H12" s="21" t="n"/>
      <c r="I12" s="21">
        <f>IF(E12="","",MAX(F12*G12-N(H12),0))</f>
        <v/>
      </c>
      <c r="J12" s="19" t="n"/>
      <c r="K12" s="20" t="n"/>
      <c r="L12" s="20" t="n"/>
      <c r="M12" s="20" t="n"/>
      <c r="N12" s="20">
        <f>IF(OR(E12="",M12="Entregue",M12="Cancelado",J12=""),"",IF(J12&lt;TODAY(),"ATRASADO",IF(J12=TODAY(),"ENTREGA HOJE","")))</f>
        <v/>
      </c>
    </row>
    <row r="13">
      <c r="A13" s="18" t="n"/>
      <c r="B13" s="19" t="n"/>
      <c r="C13" s="20" t="n"/>
      <c r="D13" s="20" t="n"/>
      <c r="E13" s="20" t="n"/>
      <c r="F13" s="18" t="n"/>
      <c r="G13" s="21">
        <f>IF(E13="","",IFERROR(VLOOKUP(E13,'Catálogo'!$A$5:$B$504,2,FALSE),0))</f>
        <v/>
      </c>
      <c r="H13" s="21" t="n"/>
      <c r="I13" s="21">
        <f>IF(E13="","",MAX(F13*G13-N(H13),0))</f>
        <v/>
      </c>
      <c r="J13" s="19" t="n"/>
      <c r="K13" s="20" t="n"/>
      <c r="L13" s="20" t="n"/>
      <c r="M13" s="20" t="n"/>
      <c r="N13" s="20">
        <f>IF(OR(E13="",M13="Entregue",M13="Cancelado",J13=""),"",IF(J13&lt;TODAY(),"ATRASADO",IF(J13=TODAY(),"ENTREGA HOJE","")))</f>
        <v/>
      </c>
    </row>
    <row r="14">
      <c r="A14" s="18" t="n"/>
      <c r="B14" s="19" t="n"/>
      <c r="C14" s="20" t="n"/>
      <c r="D14" s="20" t="n"/>
      <c r="E14" s="20" t="n"/>
      <c r="F14" s="18" t="n"/>
      <c r="G14" s="21">
        <f>IF(E14="","",IFERROR(VLOOKUP(E14,'Catálogo'!$A$5:$B$504,2,FALSE),0))</f>
        <v/>
      </c>
      <c r="H14" s="21" t="n"/>
      <c r="I14" s="21">
        <f>IF(E14="","",MAX(F14*G14-N(H14),0))</f>
        <v/>
      </c>
      <c r="J14" s="19" t="n"/>
      <c r="K14" s="20" t="n"/>
      <c r="L14" s="20" t="n"/>
      <c r="M14" s="20" t="n"/>
      <c r="N14" s="20">
        <f>IF(OR(E14="",M14="Entregue",M14="Cancelado",J14=""),"",IF(J14&lt;TODAY(),"ATRASADO",IF(J14=TODAY(),"ENTREGA HOJE","")))</f>
        <v/>
      </c>
    </row>
    <row r="15">
      <c r="A15" s="18" t="n"/>
      <c r="B15" s="19" t="n"/>
      <c r="C15" s="20" t="n"/>
      <c r="D15" s="20" t="n"/>
      <c r="E15" s="20" t="n"/>
      <c r="F15" s="18" t="n"/>
      <c r="G15" s="21">
        <f>IF(E15="","",IFERROR(VLOOKUP(E15,'Catálogo'!$A$5:$B$504,2,FALSE),0))</f>
        <v/>
      </c>
      <c r="H15" s="21" t="n"/>
      <c r="I15" s="21">
        <f>IF(E15="","",MAX(F15*G15-N(H15),0))</f>
        <v/>
      </c>
      <c r="J15" s="19" t="n"/>
      <c r="K15" s="20" t="n"/>
      <c r="L15" s="20" t="n"/>
      <c r="M15" s="20" t="n"/>
      <c r="N15" s="20">
        <f>IF(OR(E15="",M15="Entregue",M15="Cancelado",J15=""),"",IF(J15&lt;TODAY(),"ATRASADO",IF(J15=TODAY(),"ENTREGA HOJE","")))</f>
        <v/>
      </c>
    </row>
    <row r="16">
      <c r="A16" s="18" t="n"/>
      <c r="B16" s="19" t="n"/>
      <c r="C16" s="20" t="n"/>
      <c r="D16" s="20" t="n"/>
      <c r="E16" s="20" t="n"/>
      <c r="F16" s="18" t="n"/>
      <c r="G16" s="21">
        <f>IF(E16="","",IFERROR(VLOOKUP(E16,'Catálogo'!$A$5:$B$504,2,FALSE),0))</f>
        <v/>
      </c>
      <c r="H16" s="21" t="n"/>
      <c r="I16" s="21">
        <f>IF(E16="","",MAX(F16*G16-N(H16),0))</f>
        <v/>
      </c>
      <c r="J16" s="19" t="n"/>
      <c r="K16" s="20" t="n"/>
      <c r="L16" s="20" t="n"/>
      <c r="M16" s="20" t="n"/>
      <c r="N16" s="20">
        <f>IF(OR(E16="",M16="Entregue",M16="Cancelado",J16=""),"",IF(J16&lt;TODAY(),"ATRASADO",IF(J16=TODAY(),"ENTREGA HOJE","")))</f>
        <v/>
      </c>
    </row>
    <row r="17">
      <c r="A17" s="18" t="n"/>
      <c r="B17" s="19" t="n"/>
      <c r="C17" s="20" t="n"/>
      <c r="D17" s="20" t="n"/>
      <c r="E17" s="20" t="n"/>
      <c r="F17" s="18" t="n"/>
      <c r="G17" s="21">
        <f>IF(E17="","",IFERROR(VLOOKUP(E17,'Catálogo'!$A$5:$B$504,2,FALSE),0))</f>
        <v/>
      </c>
      <c r="H17" s="21" t="n"/>
      <c r="I17" s="21">
        <f>IF(E17="","",MAX(F17*G17-N(H17),0))</f>
        <v/>
      </c>
      <c r="J17" s="19" t="n"/>
      <c r="K17" s="20" t="n"/>
      <c r="L17" s="20" t="n"/>
      <c r="M17" s="20" t="n"/>
      <c r="N17" s="20">
        <f>IF(OR(E17="",M17="Entregue",M17="Cancelado",J17=""),"",IF(J17&lt;TODAY(),"ATRASADO",IF(J17=TODAY(),"ENTREGA HOJE","")))</f>
        <v/>
      </c>
    </row>
    <row r="18">
      <c r="A18" s="18" t="n"/>
      <c r="B18" s="19" t="n"/>
      <c r="C18" s="20" t="n"/>
      <c r="D18" s="20" t="n"/>
      <c r="E18" s="20" t="n"/>
      <c r="F18" s="18" t="n"/>
      <c r="G18" s="21">
        <f>IF(E18="","",IFERROR(VLOOKUP(E18,'Catálogo'!$A$5:$B$504,2,FALSE),0))</f>
        <v/>
      </c>
      <c r="H18" s="21" t="n"/>
      <c r="I18" s="21">
        <f>IF(E18="","",MAX(F18*G18-N(H18),0))</f>
        <v/>
      </c>
      <c r="J18" s="19" t="n"/>
      <c r="K18" s="20" t="n"/>
      <c r="L18" s="20" t="n"/>
      <c r="M18" s="20" t="n"/>
      <c r="N18" s="20">
        <f>IF(OR(E18="",M18="Entregue",M18="Cancelado",J18=""),"",IF(J18&lt;TODAY(),"ATRASADO",IF(J18=TODAY(),"ENTREGA HOJE","")))</f>
        <v/>
      </c>
    </row>
    <row r="19">
      <c r="A19" s="18" t="n"/>
      <c r="B19" s="19" t="n"/>
      <c r="C19" s="20" t="n"/>
      <c r="D19" s="20" t="n"/>
      <c r="E19" s="20" t="n"/>
      <c r="F19" s="18" t="n"/>
      <c r="G19" s="21">
        <f>IF(E19="","",IFERROR(VLOOKUP(E19,'Catálogo'!$A$5:$B$504,2,FALSE),0))</f>
        <v/>
      </c>
      <c r="H19" s="21" t="n"/>
      <c r="I19" s="21">
        <f>IF(E19="","",MAX(F19*G19-N(H19),0))</f>
        <v/>
      </c>
      <c r="J19" s="19" t="n"/>
      <c r="K19" s="20" t="n"/>
      <c r="L19" s="20" t="n"/>
      <c r="M19" s="20" t="n"/>
      <c r="N19" s="20">
        <f>IF(OR(E19="",M19="Entregue",M19="Cancelado",J19=""),"",IF(J19&lt;TODAY(),"ATRASADO",IF(J19=TODAY(),"ENTREGA HOJE","")))</f>
        <v/>
      </c>
    </row>
    <row r="20">
      <c r="A20" s="18" t="n"/>
      <c r="B20" s="19" t="n"/>
      <c r="C20" s="20" t="n"/>
      <c r="D20" s="20" t="n"/>
      <c r="E20" s="20" t="n"/>
      <c r="F20" s="18" t="n"/>
      <c r="G20" s="21">
        <f>IF(E20="","",IFERROR(VLOOKUP(E20,'Catálogo'!$A$5:$B$504,2,FALSE),0))</f>
        <v/>
      </c>
      <c r="H20" s="21" t="n"/>
      <c r="I20" s="21">
        <f>IF(E20="","",MAX(F20*G20-N(H20),0))</f>
        <v/>
      </c>
      <c r="J20" s="19" t="n"/>
      <c r="K20" s="20" t="n"/>
      <c r="L20" s="20" t="n"/>
      <c r="M20" s="20" t="n"/>
      <c r="N20" s="20">
        <f>IF(OR(E20="",M20="Entregue",M20="Cancelado",J20=""),"",IF(J20&lt;TODAY(),"ATRASADO",IF(J20=TODAY(),"ENTREGA HOJE","")))</f>
        <v/>
      </c>
    </row>
    <row r="21">
      <c r="A21" s="18" t="n"/>
      <c r="B21" s="19" t="n"/>
      <c r="C21" s="20" t="n"/>
      <c r="D21" s="20" t="n"/>
      <c r="E21" s="20" t="n"/>
      <c r="F21" s="18" t="n"/>
      <c r="G21" s="21">
        <f>IF(E21="","",IFERROR(VLOOKUP(E21,'Catálogo'!$A$5:$B$504,2,FALSE),0))</f>
        <v/>
      </c>
      <c r="H21" s="21" t="n"/>
      <c r="I21" s="21">
        <f>IF(E21="","",MAX(F21*G21-N(H21),0))</f>
        <v/>
      </c>
      <c r="J21" s="19" t="n"/>
      <c r="K21" s="20" t="n"/>
      <c r="L21" s="20" t="n"/>
      <c r="M21" s="20" t="n"/>
      <c r="N21" s="20">
        <f>IF(OR(E21="",M21="Entregue",M21="Cancelado",J21=""),"",IF(J21&lt;TODAY(),"ATRASADO",IF(J21=TODAY(),"ENTREGA HOJE","")))</f>
        <v/>
      </c>
    </row>
    <row r="22">
      <c r="A22" s="18" t="n"/>
      <c r="B22" s="19" t="n"/>
      <c r="C22" s="20" t="n"/>
      <c r="D22" s="20" t="n"/>
      <c r="E22" s="20" t="n"/>
      <c r="F22" s="18" t="n"/>
      <c r="G22" s="21">
        <f>IF(E22="","",IFERROR(VLOOKUP(E22,'Catálogo'!$A$5:$B$504,2,FALSE),0))</f>
        <v/>
      </c>
      <c r="H22" s="21" t="n"/>
      <c r="I22" s="21">
        <f>IF(E22="","",MAX(F22*G22-N(H22),0))</f>
        <v/>
      </c>
      <c r="J22" s="19" t="n"/>
      <c r="K22" s="20" t="n"/>
      <c r="L22" s="20" t="n"/>
      <c r="M22" s="20" t="n"/>
      <c r="N22" s="20">
        <f>IF(OR(E22="",M22="Entregue",M22="Cancelado",J22=""),"",IF(J22&lt;TODAY(),"ATRASADO",IF(J22=TODAY(),"ENTREGA HOJE","")))</f>
        <v/>
      </c>
    </row>
    <row r="23">
      <c r="A23" s="18" t="n"/>
      <c r="B23" s="19" t="n"/>
      <c r="C23" s="20" t="n"/>
      <c r="D23" s="20" t="n"/>
      <c r="E23" s="20" t="n"/>
      <c r="F23" s="18" t="n"/>
      <c r="G23" s="21">
        <f>IF(E23="","",IFERROR(VLOOKUP(E23,'Catálogo'!$A$5:$B$504,2,FALSE),0))</f>
        <v/>
      </c>
      <c r="H23" s="21" t="n"/>
      <c r="I23" s="21">
        <f>IF(E23="","",MAX(F23*G23-N(H23),0))</f>
        <v/>
      </c>
      <c r="J23" s="19" t="n"/>
      <c r="K23" s="20" t="n"/>
      <c r="L23" s="20" t="n"/>
      <c r="M23" s="20" t="n"/>
      <c r="N23" s="20">
        <f>IF(OR(E23="",M23="Entregue",M23="Cancelado",J23=""),"",IF(J23&lt;TODAY(),"ATRASADO",IF(J23=TODAY(),"ENTREGA HOJE","")))</f>
        <v/>
      </c>
    </row>
    <row r="24">
      <c r="A24" s="18" t="n"/>
      <c r="B24" s="19" t="n"/>
      <c r="C24" s="20" t="n"/>
      <c r="D24" s="20" t="n"/>
      <c r="E24" s="20" t="n"/>
      <c r="F24" s="18" t="n"/>
      <c r="G24" s="21">
        <f>IF(E24="","",IFERROR(VLOOKUP(E24,'Catálogo'!$A$5:$B$504,2,FALSE),0))</f>
        <v/>
      </c>
      <c r="H24" s="21" t="n"/>
      <c r="I24" s="21">
        <f>IF(E24="","",MAX(F24*G24-N(H24),0))</f>
        <v/>
      </c>
      <c r="J24" s="19" t="n"/>
      <c r="K24" s="20" t="n"/>
      <c r="L24" s="20" t="n"/>
      <c r="M24" s="20" t="n"/>
      <c r="N24" s="20">
        <f>IF(OR(E24="",M24="Entregue",M24="Cancelado",J24=""),"",IF(J24&lt;TODAY(),"ATRASADO",IF(J24=TODAY(),"ENTREGA HOJE","")))</f>
        <v/>
      </c>
    </row>
    <row r="25">
      <c r="A25" s="18" t="n"/>
      <c r="B25" s="19" t="n"/>
      <c r="C25" s="20" t="n"/>
      <c r="D25" s="20" t="n"/>
      <c r="E25" s="20" t="n"/>
      <c r="F25" s="18" t="n"/>
      <c r="G25" s="21">
        <f>IF(E25="","",IFERROR(VLOOKUP(E25,'Catálogo'!$A$5:$B$504,2,FALSE),0))</f>
        <v/>
      </c>
      <c r="H25" s="21" t="n"/>
      <c r="I25" s="21">
        <f>IF(E25="","",MAX(F25*G25-N(H25),0))</f>
        <v/>
      </c>
      <c r="J25" s="19" t="n"/>
      <c r="K25" s="20" t="n"/>
      <c r="L25" s="20" t="n"/>
      <c r="M25" s="20" t="n"/>
      <c r="N25" s="20">
        <f>IF(OR(E25="",M25="Entregue",M25="Cancelado",J25=""),"",IF(J25&lt;TODAY(),"ATRASADO",IF(J25=TODAY(),"ENTREGA HOJE","")))</f>
        <v/>
      </c>
    </row>
    <row r="26">
      <c r="A26" s="18" t="n"/>
      <c r="B26" s="19" t="n"/>
      <c r="C26" s="20" t="n"/>
      <c r="D26" s="20" t="n"/>
      <c r="E26" s="20" t="n"/>
      <c r="F26" s="18" t="n"/>
      <c r="G26" s="21">
        <f>IF(E26="","",IFERROR(VLOOKUP(E26,'Catálogo'!$A$5:$B$504,2,FALSE),0))</f>
        <v/>
      </c>
      <c r="H26" s="21" t="n"/>
      <c r="I26" s="21">
        <f>IF(E26="","",MAX(F26*G26-N(H26),0))</f>
        <v/>
      </c>
      <c r="J26" s="19" t="n"/>
      <c r="K26" s="20" t="n"/>
      <c r="L26" s="20" t="n"/>
      <c r="M26" s="20" t="n"/>
      <c r="N26" s="20">
        <f>IF(OR(E26="",M26="Entregue",M26="Cancelado",J26=""),"",IF(J26&lt;TODAY(),"ATRASADO",IF(J26=TODAY(),"ENTREGA HOJE","")))</f>
        <v/>
      </c>
    </row>
    <row r="27">
      <c r="A27" s="18" t="n"/>
      <c r="B27" s="19" t="n"/>
      <c r="C27" s="20" t="n"/>
      <c r="D27" s="20" t="n"/>
      <c r="E27" s="20" t="n"/>
      <c r="F27" s="18" t="n"/>
      <c r="G27" s="21">
        <f>IF(E27="","",IFERROR(VLOOKUP(E27,'Catálogo'!$A$5:$B$504,2,FALSE),0))</f>
        <v/>
      </c>
      <c r="H27" s="21" t="n"/>
      <c r="I27" s="21">
        <f>IF(E27="","",MAX(F27*G27-N(H27),0))</f>
        <v/>
      </c>
      <c r="J27" s="19" t="n"/>
      <c r="K27" s="20" t="n"/>
      <c r="L27" s="20" t="n"/>
      <c r="M27" s="20" t="n"/>
      <c r="N27" s="20">
        <f>IF(OR(E27="",M27="Entregue",M27="Cancelado",J27=""),"",IF(J27&lt;TODAY(),"ATRASADO",IF(J27=TODAY(),"ENTREGA HOJE","")))</f>
        <v/>
      </c>
    </row>
    <row r="28">
      <c r="A28" s="18" t="n"/>
      <c r="B28" s="19" t="n"/>
      <c r="C28" s="20" t="n"/>
      <c r="D28" s="20" t="n"/>
      <c r="E28" s="20" t="n"/>
      <c r="F28" s="18" t="n"/>
      <c r="G28" s="21">
        <f>IF(E28="","",IFERROR(VLOOKUP(E28,'Catálogo'!$A$5:$B$504,2,FALSE),0))</f>
        <v/>
      </c>
      <c r="H28" s="21" t="n"/>
      <c r="I28" s="21">
        <f>IF(E28="","",MAX(F28*G28-N(H28),0))</f>
        <v/>
      </c>
      <c r="J28" s="19" t="n"/>
      <c r="K28" s="20" t="n"/>
      <c r="L28" s="20" t="n"/>
      <c r="M28" s="20" t="n"/>
      <c r="N28" s="20">
        <f>IF(OR(E28="",M28="Entregue",M28="Cancelado",J28=""),"",IF(J28&lt;TODAY(),"ATRASADO",IF(J28=TODAY(),"ENTREGA HOJE","")))</f>
        <v/>
      </c>
    </row>
    <row r="29">
      <c r="A29" s="18" t="n"/>
      <c r="B29" s="19" t="n"/>
      <c r="C29" s="20" t="n"/>
      <c r="D29" s="20" t="n"/>
      <c r="E29" s="20" t="n"/>
      <c r="F29" s="18" t="n"/>
      <c r="G29" s="21">
        <f>IF(E29="","",IFERROR(VLOOKUP(E29,'Catálogo'!$A$5:$B$504,2,FALSE),0))</f>
        <v/>
      </c>
      <c r="H29" s="21" t="n"/>
      <c r="I29" s="21">
        <f>IF(E29="","",MAX(F29*G29-N(H29),0))</f>
        <v/>
      </c>
      <c r="J29" s="19" t="n"/>
      <c r="K29" s="20" t="n"/>
      <c r="L29" s="20" t="n"/>
      <c r="M29" s="20" t="n"/>
      <c r="N29" s="20">
        <f>IF(OR(E29="",M29="Entregue",M29="Cancelado",J29=""),"",IF(J29&lt;TODAY(),"ATRASADO",IF(J29=TODAY(),"ENTREGA HOJE","")))</f>
        <v/>
      </c>
    </row>
    <row r="30">
      <c r="A30" s="18" t="n"/>
      <c r="B30" s="19" t="n"/>
      <c r="C30" s="20" t="n"/>
      <c r="D30" s="20" t="n"/>
      <c r="E30" s="20" t="n"/>
      <c r="F30" s="18" t="n"/>
      <c r="G30" s="21">
        <f>IF(E30="","",IFERROR(VLOOKUP(E30,'Catálogo'!$A$5:$B$504,2,FALSE),0))</f>
        <v/>
      </c>
      <c r="H30" s="21" t="n"/>
      <c r="I30" s="21">
        <f>IF(E30="","",MAX(F30*G30-N(H30),0))</f>
        <v/>
      </c>
      <c r="J30" s="19" t="n"/>
      <c r="K30" s="20" t="n"/>
      <c r="L30" s="20" t="n"/>
      <c r="M30" s="20" t="n"/>
      <c r="N30" s="20">
        <f>IF(OR(E30="",M30="Entregue",M30="Cancelado",J30=""),"",IF(J30&lt;TODAY(),"ATRASADO",IF(J30=TODAY(),"ENTREGA HOJE","")))</f>
        <v/>
      </c>
    </row>
    <row r="31">
      <c r="A31" s="18" t="n"/>
      <c r="B31" s="19" t="n"/>
      <c r="C31" s="20" t="n"/>
      <c r="D31" s="20" t="n"/>
      <c r="E31" s="20" t="n"/>
      <c r="F31" s="18" t="n"/>
      <c r="G31" s="21">
        <f>IF(E31="","",IFERROR(VLOOKUP(E31,'Catálogo'!$A$5:$B$504,2,FALSE),0))</f>
        <v/>
      </c>
      <c r="H31" s="21" t="n"/>
      <c r="I31" s="21">
        <f>IF(E31="","",MAX(F31*G31-N(H31),0))</f>
        <v/>
      </c>
      <c r="J31" s="19" t="n"/>
      <c r="K31" s="20" t="n"/>
      <c r="L31" s="20" t="n"/>
      <c r="M31" s="20" t="n"/>
      <c r="N31" s="20">
        <f>IF(OR(E31="",M31="Entregue",M31="Cancelado",J31=""),"",IF(J31&lt;TODAY(),"ATRASADO",IF(J31=TODAY(),"ENTREGA HOJE","")))</f>
        <v/>
      </c>
    </row>
    <row r="32">
      <c r="A32" s="18" t="n"/>
      <c r="B32" s="19" t="n"/>
      <c r="C32" s="20" t="n"/>
      <c r="D32" s="20" t="n"/>
      <c r="E32" s="20" t="n"/>
      <c r="F32" s="18" t="n"/>
      <c r="G32" s="21">
        <f>IF(E32="","",IFERROR(VLOOKUP(E32,'Catálogo'!$A$5:$B$504,2,FALSE),0))</f>
        <v/>
      </c>
      <c r="H32" s="21" t="n"/>
      <c r="I32" s="21">
        <f>IF(E32="","",MAX(F32*G32-N(H32),0))</f>
        <v/>
      </c>
      <c r="J32" s="19" t="n"/>
      <c r="K32" s="20" t="n"/>
      <c r="L32" s="20" t="n"/>
      <c r="M32" s="20" t="n"/>
      <c r="N32" s="20">
        <f>IF(OR(E32="",M32="Entregue",M32="Cancelado",J32=""),"",IF(J32&lt;TODAY(),"ATRASADO",IF(J32=TODAY(),"ENTREGA HOJE","")))</f>
        <v/>
      </c>
    </row>
    <row r="33">
      <c r="A33" s="18" t="n"/>
      <c r="B33" s="19" t="n"/>
      <c r="C33" s="20" t="n"/>
      <c r="D33" s="20" t="n"/>
      <c r="E33" s="20" t="n"/>
      <c r="F33" s="18" t="n"/>
      <c r="G33" s="21">
        <f>IF(E33="","",IFERROR(VLOOKUP(E33,'Catálogo'!$A$5:$B$504,2,FALSE),0))</f>
        <v/>
      </c>
      <c r="H33" s="21" t="n"/>
      <c r="I33" s="21">
        <f>IF(E33="","",MAX(F33*G33-N(H33),0))</f>
        <v/>
      </c>
      <c r="J33" s="19" t="n"/>
      <c r="K33" s="20" t="n"/>
      <c r="L33" s="20" t="n"/>
      <c r="M33" s="20" t="n"/>
      <c r="N33" s="20">
        <f>IF(OR(E33="",M33="Entregue",M33="Cancelado",J33=""),"",IF(J33&lt;TODAY(),"ATRASADO",IF(J33=TODAY(),"ENTREGA HOJE","")))</f>
        <v/>
      </c>
    </row>
    <row r="34">
      <c r="A34" s="18" t="n"/>
      <c r="B34" s="19" t="n"/>
      <c r="C34" s="20" t="n"/>
      <c r="D34" s="20" t="n"/>
      <c r="E34" s="20" t="n"/>
      <c r="F34" s="18" t="n"/>
      <c r="G34" s="21">
        <f>IF(E34="","",IFERROR(VLOOKUP(E34,'Catálogo'!$A$5:$B$504,2,FALSE),0))</f>
        <v/>
      </c>
      <c r="H34" s="21" t="n"/>
      <c r="I34" s="21">
        <f>IF(E34="","",MAX(F34*G34-N(H34),0))</f>
        <v/>
      </c>
      <c r="J34" s="19" t="n"/>
      <c r="K34" s="20" t="n"/>
      <c r="L34" s="20" t="n"/>
      <c r="M34" s="20" t="n"/>
      <c r="N34" s="20">
        <f>IF(OR(E34="",M34="Entregue",M34="Cancelado",J34=""),"",IF(J34&lt;TODAY(),"ATRASADO",IF(J34=TODAY(),"ENTREGA HOJE","")))</f>
        <v/>
      </c>
    </row>
    <row r="35">
      <c r="A35" s="18" t="n"/>
      <c r="B35" s="19" t="n"/>
      <c r="C35" s="20" t="n"/>
      <c r="D35" s="20" t="n"/>
      <c r="E35" s="20" t="n"/>
      <c r="F35" s="18" t="n"/>
      <c r="G35" s="21">
        <f>IF(E35="","",IFERROR(VLOOKUP(E35,'Catálogo'!$A$5:$B$504,2,FALSE),0))</f>
        <v/>
      </c>
      <c r="H35" s="21" t="n"/>
      <c r="I35" s="21">
        <f>IF(E35="","",MAX(F35*G35-N(H35),0))</f>
        <v/>
      </c>
      <c r="J35" s="19" t="n"/>
      <c r="K35" s="20" t="n"/>
      <c r="L35" s="20" t="n"/>
      <c r="M35" s="20" t="n"/>
      <c r="N35" s="20">
        <f>IF(OR(E35="",M35="Entregue",M35="Cancelado",J35=""),"",IF(J35&lt;TODAY(),"ATRASADO",IF(J35=TODAY(),"ENTREGA HOJE","")))</f>
        <v/>
      </c>
    </row>
    <row r="36">
      <c r="A36" s="18" t="n"/>
      <c r="B36" s="19" t="n"/>
      <c r="C36" s="20" t="n"/>
      <c r="D36" s="20" t="n"/>
      <c r="E36" s="20" t="n"/>
      <c r="F36" s="18" t="n"/>
      <c r="G36" s="21">
        <f>IF(E36="","",IFERROR(VLOOKUP(E36,'Catálogo'!$A$5:$B$504,2,FALSE),0))</f>
        <v/>
      </c>
      <c r="H36" s="21" t="n"/>
      <c r="I36" s="21">
        <f>IF(E36="","",MAX(F36*G36-N(H36),0))</f>
        <v/>
      </c>
      <c r="J36" s="19" t="n"/>
      <c r="K36" s="20" t="n"/>
      <c r="L36" s="20" t="n"/>
      <c r="M36" s="20" t="n"/>
      <c r="N36" s="20">
        <f>IF(OR(E36="",M36="Entregue",M36="Cancelado",J36=""),"",IF(J36&lt;TODAY(),"ATRASADO",IF(J36=TODAY(),"ENTREGA HOJE","")))</f>
        <v/>
      </c>
    </row>
    <row r="37">
      <c r="A37" s="18" t="n"/>
      <c r="B37" s="19" t="n"/>
      <c r="C37" s="20" t="n"/>
      <c r="D37" s="20" t="n"/>
      <c r="E37" s="20" t="n"/>
      <c r="F37" s="18" t="n"/>
      <c r="G37" s="21">
        <f>IF(E37="","",IFERROR(VLOOKUP(E37,'Catálogo'!$A$5:$B$504,2,FALSE),0))</f>
        <v/>
      </c>
      <c r="H37" s="21" t="n"/>
      <c r="I37" s="21">
        <f>IF(E37="","",MAX(F37*G37-N(H37),0))</f>
        <v/>
      </c>
      <c r="J37" s="19" t="n"/>
      <c r="K37" s="20" t="n"/>
      <c r="L37" s="20" t="n"/>
      <c r="M37" s="20" t="n"/>
      <c r="N37" s="20">
        <f>IF(OR(E37="",M37="Entregue",M37="Cancelado",J37=""),"",IF(J37&lt;TODAY(),"ATRASADO",IF(J37=TODAY(),"ENTREGA HOJE","")))</f>
        <v/>
      </c>
    </row>
    <row r="38">
      <c r="A38" s="18" t="n"/>
      <c r="B38" s="19" t="n"/>
      <c r="C38" s="20" t="n"/>
      <c r="D38" s="20" t="n"/>
      <c r="E38" s="20" t="n"/>
      <c r="F38" s="18" t="n"/>
      <c r="G38" s="21">
        <f>IF(E38="","",IFERROR(VLOOKUP(E38,'Catálogo'!$A$5:$B$504,2,FALSE),0))</f>
        <v/>
      </c>
      <c r="H38" s="21" t="n"/>
      <c r="I38" s="21">
        <f>IF(E38="","",MAX(F38*G38-N(H38),0))</f>
        <v/>
      </c>
      <c r="J38" s="19" t="n"/>
      <c r="K38" s="20" t="n"/>
      <c r="L38" s="20" t="n"/>
      <c r="M38" s="20" t="n"/>
      <c r="N38" s="20">
        <f>IF(OR(E38="",M38="Entregue",M38="Cancelado",J38=""),"",IF(J38&lt;TODAY(),"ATRASADO",IF(J38=TODAY(),"ENTREGA HOJE","")))</f>
        <v/>
      </c>
    </row>
    <row r="39">
      <c r="A39" s="18" t="n"/>
      <c r="B39" s="19" t="n"/>
      <c r="C39" s="20" t="n"/>
      <c r="D39" s="20" t="n"/>
      <c r="E39" s="20" t="n"/>
      <c r="F39" s="18" t="n"/>
      <c r="G39" s="21">
        <f>IF(E39="","",IFERROR(VLOOKUP(E39,'Catálogo'!$A$5:$B$504,2,FALSE),0))</f>
        <v/>
      </c>
      <c r="H39" s="21" t="n"/>
      <c r="I39" s="21">
        <f>IF(E39="","",MAX(F39*G39-N(H39),0))</f>
        <v/>
      </c>
      <c r="J39" s="19" t="n"/>
      <c r="K39" s="20" t="n"/>
      <c r="L39" s="20" t="n"/>
      <c r="M39" s="20" t="n"/>
      <c r="N39" s="20">
        <f>IF(OR(E39="",M39="Entregue",M39="Cancelado",J39=""),"",IF(J39&lt;TODAY(),"ATRASADO",IF(J39=TODAY(),"ENTREGA HOJE","")))</f>
        <v/>
      </c>
    </row>
    <row r="40">
      <c r="A40" s="18" t="n"/>
      <c r="B40" s="19" t="n"/>
      <c r="C40" s="20" t="n"/>
      <c r="D40" s="20" t="n"/>
      <c r="E40" s="20" t="n"/>
      <c r="F40" s="18" t="n"/>
      <c r="G40" s="21">
        <f>IF(E40="","",IFERROR(VLOOKUP(E40,'Catálogo'!$A$5:$B$504,2,FALSE),0))</f>
        <v/>
      </c>
      <c r="H40" s="21" t="n"/>
      <c r="I40" s="21">
        <f>IF(E40="","",MAX(F40*G40-N(H40),0))</f>
        <v/>
      </c>
      <c r="J40" s="19" t="n"/>
      <c r="K40" s="20" t="n"/>
      <c r="L40" s="20" t="n"/>
      <c r="M40" s="20" t="n"/>
      <c r="N40" s="20">
        <f>IF(OR(E40="",M40="Entregue",M40="Cancelado",J40=""),"",IF(J40&lt;TODAY(),"ATRASADO",IF(J40=TODAY(),"ENTREGA HOJE","")))</f>
        <v/>
      </c>
    </row>
    <row r="41">
      <c r="A41" s="18" t="n"/>
      <c r="B41" s="19" t="n"/>
      <c r="C41" s="20" t="n"/>
      <c r="D41" s="20" t="n"/>
      <c r="E41" s="20" t="n"/>
      <c r="F41" s="18" t="n"/>
      <c r="G41" s="21">
        <f>IF(E41="","",IFERROR(VLOOKUP(E41,'Catálogo'!$A$5:$B$504,2,FALSE),0))</f>
        <v/>
      </c>
      <c r="H41" s="21" t="n"/>
      <c r="I41" s="21">
        <f>IF(E41="","",MAX(F41*G41-N(H41),0))</f>
        <v/>
      </c>
      <c r="J41" s="19" t="n"/>
      <c r="K41" s="20" t="n"/>
      <c r="L41" s="20" t="n"/>
      <c r="M41" s="20" t="n"/>
      <c r="N41" s="20">
        <f>IF(OR(E41="",M41="Entregue",M41="Cancelado",J41=""),"",IF(J41&lt;TODAY(),"ATRASADO",IF(J41=TODAY(),"ENTREGA HOJE","")))</f>
        <v/>
      </c>
    </row>
    <row r="42">
      <c r="A42" s="18" t="n"/>
      <c r="B42" s="19" t="n"/>
      <c r="C42" s="20" t="n"/>
      <c r="D42" s="20" t="n"/>
      <c r="E42" s="20" t="n"/>
      <c r="F42" s="18" t="n"/>
      <c r="G42" s="21">
        <f>IF(E42="","",IFERROR(VLOOKUP(E42,'Catálogo'!$A$5:$B$504,2,FALSE),0))</f>
        <v/>
      </c>
      <c r="H42" s="21" t="n"/>
      <c r="I42" s="21">
        <f>IF(E42="","",MAX(F42*G42-N(H42),0))</f>
        <v/>
      </c>
      <c r="J42" s="19" t="n"/>
      <c r="K42" s="20" t="n"/>
      <c r="L42" s="20" t="n"/>
      <c r="M42" s="20" t="n"/>
      <c r="N42" s="20">
        <f>IF(OR(E42="",M42="Entregue",M42="Cancelado",J42=""),"",IF(J42&lt;TODAY(),"ATRASADO",IF(J42=TODAY(),"ENTREGA HOJE","")))</f>
        <v/>
      </c>
    </row>
    <row r="43">
      <c r="A43" s="18" t="n"/>
      <c r="B43" s="19" t="n"/>
      <c r="C43" s="20" t="n"/>
      <c r="D43" s="20" t="n"/>
      <c r="E43" s="20" t="n"/>
      <c r="F43" s="18" t="n"/>
      <c r="G43" s="21">
        <f>IF(E43="","",IFERROR(VLOOKUP(E43,'Catálogo'!$A$5:$B$504,2,FALSE),0))</f>
        <v/>
      </c>
      <c r="H43" s="21" t="n"/>
      <c r="I43" s="21">
        <f>IF(E43="","",MAX(F43*G43-N(H43),0))</f>
        <v/>
      </c>
      <c r="J43" s="19" t="n"/>
      <c r="K43" s="20" t="n"/>
      <c r="L43" s="20" t="n"/>
      <c r="M43" s="20" t="n"/>
      <c r="N43" s="20">
        <f>IF(OR(E43="",M43="Entregue",M43="Cancelado",J43=""),"",IF(J43&lt;TODAY(),"ATRASADO",IF(J43=TODAY(),"ENTREGA HOJE","")))</f>
        <v/>
      </c>
    </row>
    <row r="44">
      <c r="A44" s="18" t="n"/>
      <c r="B44" s="19" t="n"/>
      <c r="C44" s="20" t="n"/>
      <c r="D44" s="20" t="n"/>
      <c r="E44" s="20" t="n"/>
      <c r="F44" s="18" t="n"/>
      <c r="G44" s="21">
        <f>IF(E44="","",IFERROR(VLOOKUP(E44,'Catálogo'!$A$5:$B$504,2,FALSE),0))</f>
        <v/>
      </c>
      <c r="H44" s="21" t="n"/>
      <c r="I44" s="21">
        <f>IF(E44="","",MAX(F44*G44-N(H44),0))</f>
        <v/>
      </c>
      <c r="J44" s="19" t="n"/>
      <c r="K44" s="20" t="n"/>
      <c r="L44" s="20" t="n"/>
      <c r="M44" s="20" t="n"/>
      <c r="N44" s="20">
        <f>IF(OR(E44="",M44="Entregue",M44="Cancelado",J44=""),"",IF(J44&lt;TODAY(),"ATRASADO",IF(J44=TODAY(),"ENTREGA HOJE","")))</f>
        <v/>
      </c>
    </row>
    <row r="45">
      <c r="A45" s="18" t="n"/>
      <c r="B45" s="19" t="n"/>
      <c r="C45" s="20" t="n"/>
      <c r="D45" s="20" t="n"/>
      <c r="E45" s="20" t="n"/>
      <c r="F45" s="18" t="n"/>
      <c r="G45" s="21">
        <f>IF(E45="","",IFERROR(VLOOKUP(E45,'Catálogo'!$A$5:$B$504,2,FALSE),0))</f>
        <v/>
      </c>
      <c r="H45" s="21" t="n"/>
      <c r="I45" s="21">
        <f>IF(E45="","",MAX(F45*G45-N(H45),0))</f>
        <v/>
      </c>
      <c r="J45" s="19" t="n"/>
      <c r="K45" s="20" t="n"/>
      <c r="L45" s="20" t="n"/>
      <c r="M45" s="20" t="n"/>
      <c r="N45" s="20">
        <f>IF(OR(E45="",M45="Entregue",M45="Cancelado",J45=""),"",IF(J45&lt;TODAY(),"ATRASADO",IF(J45=TODAY(),"ENTREGA HOJE","")))</f>
        <v/>
      </c>
    </row>
    <row r="46">
      <c r="A46" s="18" t="n"/>
      <c r="B46" s="19" t="n"/>
      <c r="C46" s="20" t="n"/>
      <c r="D46" s="20" t="n"/>
      <c r="E46" s="20" t="n"/>
      <c r="F46" s="18" t="n"/>
      <c r="G46" s="21">
        <f>IF(E46="","",IFERROR(VLOOKUP(E46,'Catálogo'!$A$5:$B$504,2,FALSE),0))</f>
        <v/>
      </c>
      <c r="H46" s="21" t="n"/>
      <c r="I46" s="21">
        <f>IF(E46="","",MAX(F46*G46-N(H46),0))</f>
        <v/>
      </c>
      <c r="J46" s="19" t="n"/>
      <c r="K46" s="20" t="n"/>
      <c r="L46" s="20" t="n"/>
      <c r="M46" s="20" t="n"/>
      <c r="N46" s="20">
        <f>IF(OR(E46="",M46="Entregue",M46="Cancelado",J46=""),"",IF(J46&lt;TODAY(),"ATRASADO",IF(J46=TODAY(),"ENTREGA HOJE","")))</f>
        <v/>
      </c>
    </row>
    <row r="47">
      <c r="A47" s="18" t="n"/>
      <c r="B47" s="19" t="n"/>
      <c r="C47" s="20" t="n"/>
      <c r="D47" s="20" t="n"/>
      <c r="E47" s="20" t="n"/>
      <c r="F47" s="18" t="n"/>
      <c r="G47" s="21">
        <f>IF(E47="","",IFERROR(VLOOKUP(E47,'Catálogo'!$A$5:$B$504,2,FALSE),0))</f>
        <v/>
      </c>
      <c r="H47" s="21" t="n"/>
      <c r="I47" s="21">
        <f>IF(E47="","",MAX(F47*G47-N(H47),0))</f>
        <v/>
      </c>
      <c r="J47" s="19" t="n"/>
      <c r="K47" s="20" t="n"/>
      <c r="L47" s="20" t="n"/>
      <c r="M47" s="20" t="n"/>
      <c r="N47" s="20">
        <f>IF(OR(E47="",M47="Entregue",M47="Cancelado",J47=""),"",IF(J47&lt;TODAY(),"ATRASADO",IF(J47=TODAY(),"ENTREGA HOJE","")))</f>
        <v/>
      </c>
    </row>
    <row r="48">
      <c r="A48" s="18" t="n"/>
      <c r="B48" s="19" t="n"/>
      <c r="C48" s="20" t="n"/>
      <c r="D48" s="20" t="n"/>
      <c r="E48" s="20" t="n"/>
      <c r="F48" s="18" t="n"/>
      <c r="G48" s="21">
        <f>IF(E48="","",IFERROR(VLOOKUP(E48,'Catálogo'!$A$5:$B$504,2,FALSE),0))</f>
        <v/>
      </c>
      <c r="H48" s="21" t="n"/>
      <c r="I48" s="21">
        <f>IF(E48="","",MAX(F48*G48-N(H48),0))</f>
        <v/>
      </c>
      <c r="J48" s="19" t="n"/>
      <c r="K48" s="20" t="n"/>
      <c r="L48" s="20" t="n"/>
      <c r="M48" s="20" t="n"/>
      <c r="N48" s="20">
        <f>IF(OR(E48="",M48="Entregue",M48="Cancelado",J48=""),"",IF(J48&lt;TODAY(),"ATRASADO",IF(J48=TODAY(),"ENTREGA HOJE","")))</f>
        <v/>
      </c>
    </row>
    <row r="49">
      <c r="A49" s="18" t="n"/>
      <c r="B49" s="19" t="n"/>
      <c r="C49" s="20" t="n"/>
      <c r="D49" s="20" t="n"/>
      <c r="E49" s="20" t="n"/>
      <c r="F49" s="18" t="n"/>
      <c r="G49" s="21">
        <f>IF(E49="","",IFERROR(VLOOKUP(E49,'Catálogo'!$A$5:$B$504,2,FALSE),0))</f>
        <v/>
      </c>
      <c r="H49" s="21" t="n"/>
      <c r="I49" s="21">
        <f>IF(E49="","",MAX(F49*G49-N(H49),0))</f>
        <v/>
      </c>
      <c r="J49" s="19" t="n"/>
      <c r="K49" s="20" t="n"/>
      <c r="L49" s="20" t="n"/>
      <c r="M49" s="20" t="n"/>
      <c r="N49" s="20">
        <f>IF(OR(E49="",M49="Entregue",M49="Cancelado",J49=""),"",IF(J49&lt;TODAY(),"ATRASADO",IF(J49=TODAY(),"ENTREGA HOJE","")))</f>
        <v/>
      </c>
    </row>
    <row r="50">
      <c r="A50" s="18" t="n"/>
      <c r="B50" s="19" t="n"/>
      <c r="C50" s="20" t="n"/>
      <c r="D50" s="20" t="n"/>
      <c r="E50" s="20" t="n"/>
      <c r="F50" s="18" t="n"/>
      <c r="G50" s="21">
        <f>IF(E50="","",IFERROR(VLOOKUP(E50,'Catálogo'!$A$5:$B$504,2,FALSE),0))</f>
        <v/>
      </c>
      <c r="H50" s="21" t="n"/>
      <c r="I50" s="21">
        <f>IF(E50="","",MAX(F50*G50-N(H50),0))</f>
        <v/>
      </c>
      <c r="J50" s="19" t="n"/>
      <c r="K50" s="20" t="n"/>
      <c r="L50" s="20" t="n"/>
      <c r="M50" s="20" t="n"/>
      <c r="N50" s="20">
        <f>IF(OR(E50="",M50="Entregue",M50="Cancelado",J50=""),"",IF(J50&lt;TODAY(),"ATRASADO",IF(J50=TODAY(),"ENTREGA HOJE","")))</f>
        <v/>
      </c>
    </row>
    <row r="51">
      <c r="A51" s="18" t="n"/>
      <c r="B51" s="19" t="n"/>
      <c r="C51" s="20" t="n"/>
      <c r="D51" s="20" t="n"/>
      <c r="E51" s="20" t="n"/>
      <c r="F51" s="18" t="n"/>
      <c r="G51" s="21">
        <f>IF(E51="","",IFERROR(VLOOKUP(E51,'Catálogo'!$A$5:$B$504,2,FALSE),0))</f>
        <v/>
      </c>
      <c r="H51" s="21" t="n"/>
      <c r="I51" s="21">
        <f>IF(E51="","",MAX(F51*G51-N(H51),0))</f>
        <v/>
      </c>
      <c r="J51" s="19" t="n"/>
      <c r="K51" s="20" t="n"/>
      <c r="L51" s="20" t="n"/>
      <c r="M51" s="20" t="n"/>
      <c r="N51" s="20">
        <f>IF(OR(E51="",M51="Entregue",M51="Cancelado",J51=""),"",IF(J51&lt;TODAY(),"ATRASADO",IF(J51=TODAY(),"ENTREGA HOJE","")))</f>
        <v/>
      </c>
    </row>
    <row r="52">
      <c r="A52" s="18" t="n"/>
      <c r="B52" s="19" t="n"/>
      <c r="C52" s="20" t="n"/>
      <c r="D52" s="20" t="n"/>
      <c r="E52" s="20" t="n"/>
      <c r="F52" s="18" t="n"/>
      <c r="G52" s="21">
        <f>IF(E52="","",IFERROR(VLOOKUP(E52,'Catálogo'!$A$5:$B$504,2,FALSE),0))</f>
        <v/>
      </c>
      <c r="H52" s="21" t="n"/>
      <c r="I52" s="21">
        <f>IF(E52="","",MAX(F52*G52-N(H52),0))</f>
        <v/>
      </c>
      <c r="J52" s="19" t="n"/>
      <c r="K52" s="20" t="n"/>
      <c r="L52" s="20" t="n"/>
      <c r="M52" s="20" t="n"/>
      <c r="N52" s="20">
        <f>IF(OR(E52="",M52="Entregue",M52="Cancelado",J52=""),"",IF(J52&lt;TODAY(),"ATRASADO",IF(J52=TODAY(),"ENTREGA HOJE","")))</f>
        <v/>
      </c>
    </row>
    <row r="53">
      <c r="A53" s="18" t="n"/>
      <c r="B53" s="19" t="n"/>
      <c r="C53" s="20" t="n"/>
      <c r="D53" s="20" t="n"/>
      <c r="E53" s="20" t="n"/>
      <c r="F53" s="18" t="n"/>
      <c r="G53" s="21">
        <f>IF(E53="","",IFERROR(VLOOKUP(E53,'Catálogo'!$A$5:$B$504,2,FALSE),0))</f>
        <v/>
      </c>
      <c r="H53" s="21" t="n"/>
      <c r="I53" s="21">
        <f>IF(E53="","",MAX(F53*G53-N(H53),0))</f>
        <v/>
      </c>
      <c r="J53" s="19" t="n"/>
      <c r="K53" s="20" t="n"/>
      <c r="L53" s="20" t="n"/>
      <c r="M53" s="20" t="n"/>
      <c r="N53" s="20">
        <f>IF(OR(E53="",M53="Entregue",M53="Cancelado",J53=""),"",IF(J53&lt;TODAY(),"ATRASADO",IF(J53=TODAY(),"ENTREGA HOJE","")))</f>
        <v/>
      </c>
    </row>
    <row r="54">
      <c r="A54" s="18" t="n"/>
      <c r="B54" s="19" t="n"/>
      <c r="C54" s="20" t="n"/>
      <c r="D54" s="20" t="n"/>
      <c r="E54" s="20" t="n"/>
      <c r="F54" s="18" t="n"/>
      <c r="G54" s="21">
        <f>IF(E54="","",IFERROR(VLOOKUP(E54,'Catálogo'!$A$5:$B$504,2,FALSE),0))</f>
        <v/>
      </c>
      <c r="H54" s="21" t="n"/>
      <c r="I54" s="21">
        <f>IF(E54="","",MAX(F54*G54-N(H54),0))</f>
        <v/>
      </c>
      <c r="J54" s="19" t="n"/>
      <c r="K54" s="20" t="n"/>
      <c r="L54" s="20" t="n"/>
      <c r="M54" s="20" t="n"/>
      <c r="N54" s="20">
        <f>IF(OR(E54="",M54="Entregue",M54="Cancelado",J54=""),"",IF(J54&lt;TODAY(),"ATRASADO",IF(J54=TODAY(),"ENTREGA HOJE","")))</f>
        <v/>
      </c>
    </row>
    <row r="55">
      <c r="A55" s="18" t="n"/>
      <c r="B55" s="19" t="n"/>
      <c r="C55" s="20" t="n"/>
      <c r="D55" s="20" t="n"/>
      <c r="E55" s="20" t="n"/>
      <c r="F55" s="18" t="n"/>
      <c r="G55" s="21">
        <f>IF(E55="","",IFERROR(VLOOKUP(E55,'Catálogo'!$A$5:$B$504,2,FALSE),0))</f>
        <v/>
      </c>
      <c r="H55" s="21" t="n"/>
      <c r="I55" s="21">
        <f>IF(E55="","",MAX(F55*G55-N(H55),0))</f>
        <v/>
      </c>
      <c r="J55" s="19" t="n"/>
      <c r="K55" s="20" t="n"/>
      <c r="L55" s="20" t="n"/>
      <c r="M55" s="20" t="n"/>
      <c r="N55" s="20">
        <f>IF(OR(E55="",M55="Entregue",M55="Cancelado",J55=""),"",IF(J55&lt;TODAY(),"ATRASADO",IF(J55=TODAY(),"ENTREGA HOJE","")))</f>
        <v/>
      </c>
    </row>
    <row r="56">
      <c r="A56" s="18" t="n"/>
      <c r="B56" s="19" t="n"/>
      <c r="C56" s="20" t="n"/>
      <c r="D56" s="20" t="n"/>
      <c r="E56" s="20" t="n"/>
      <c r="F56" s="18" t="n"/>
      <c r="G56" s="21">
        <f>IF(E56="","",IFERROR(VLOOKUP(E56,'Catálogo'!$A$5:$B$504,2,FALSE),0))</f>
        <v/>
      </c>
      <c r="H56" s="21" t="n"/>
      <c r="I56" s="21">
        <f>IF(E56="","",MAX(F56*G56-N(H56),0))</f>
        <v/>
      </c>
      <c r="J56" s="19" t="n"/>
      <c r="K56" s="20" t="n"/>
      <c r="L56" s="20" t="n"/>
      <c r="M56" s="20" t="n"/>
      <c r="N56" s="20">
        <f>IF(OR(E56="",M56="Entregue",M56="Cancelado",J56=""),"",IF(J56&lt;TODAY(),"ATRASADO",IF(J56=TODAY(),"ENTREGA HOJE","")))</f>
        <v/>
      </c>
    </row>
    <row r="57">
      <c r="A57" s="18" t="n"/>
      <c r="B57" s="19" t="n"/>
      <c r="C57" s="20" t="n"/>
      <c r="D57" s="20" t="n"/>
      <c r="E57" s="20" t="n"/>
      <c r="F57" s="18" t="n"/>
      <c r="G57" s="21">
        <f>IF(E57="","",IFERROR(VLOOKUP(E57,'Catálogo'!$A$5:$B$504,2,FALSE),0))</f>
        <v/>
      </c>
      <c r="H57" s="21" t="n"/>
      <c r="I57" s="21">
        <f>IF(E57="","",MAX(F57*G57-N(H57),0))</f>
        <v/>
      </c>
      <c r="J57" s="19" t="n"/>
      <c r="K57" s="20" t="n"/>
      <c r="L57" s="20" t="n"/>
      <c r="M57" s="20" t="n"/>
      <c r="N57" s="20">
        <f>IF(OR(E57="",M57="Entregue",M57="Cancelado",J57=""),"",IF(J57&lt;TODAY(),"ATRASADO",IF(J57=TODAY(),"ENTREGA HOJE","")))</f>
        <v/>
      </c>
    </row>
    <row r="58">
      <c r="A58" s="18" t="n"/>
      <c r="B58" s="19" t="n"/>
      <c r="C58" s="20" t="n"/>
      <c r="D58" s="20" t="n"/>
      <c r="E58" s="20" t="n"/>
      <c r="F58" s="18" t="n"/>
      <c r="G58" s="21">
        <f>IF(E58="","",IFERROR(VLOOKUP(E58,'Catálogo'!$A$5:$B$504,2,FALSE),0))</f>
        <v/>
      </c>
      <c r="H58" s="21" t="n"/>
      <c r="I58" s="21">
        <f>IF(E58="","",MAX(F58*G58-N(H58),0))</f>
        <v/>
      </c>
      <c r="J58" s="19" t="n"/>
      <c r="K58" s="20" t="n"/>
      <c r="L58" s="20" t="n"/>
      <c r="M58" s="20" t="n"/>
      <c r="N58" s="20">
        <f>IF(OR(E58="",M58="Entregue",M58="Cancelado",J58=""),"",IF(J58&lt;TODAY(),"ATRASADO",IF(J58=TODAY(),"ENTREGA HOJE","")))</f>
        <v/>
      </c>
    </row>
    <row r="59">
      <c r="A59" s="18" t="n"/>
      <c r="B59" s="19" t="n"/>
      <c r="C59" s="20" t="n"/>
      <c r="D59" s="20" t="n"/>
      <c r="E59" s="20" t="n"/>
      <c r="F59" s="18" t="n"/>
      <c r="G59" s="21">
        <f>IF(E59="","",IFERROR(VLOOKUP(E59,'Catálogo'!$A$5:$B$504,2,FALSE),0))</f>
        <v/>
      </c>
      <c r="H59" s="21" t="n"/>
      <c r="I59" s="21">
        <f>IF(E59="","",MAX(F59*G59-N(H59),0))</f>
        <v/>
      </c>
      <c r="J59" s="19" t="n"/>
      <c r="K59" s="20" t="n"/>
      <c r="L59" s="20" t="n"/>
      <c r="M59" s="20" t="n"/>
      <c r="N59" s="20">
        <f>IF(OR(E59="",M59="Entregue",M59="Cancelado",J59=""),"",IF(J59&lt;TODAY(),"ATRASADO",IF(J59=TODAY(),"ENTREGA HOJE","")))</f>
        <v/>
      </c>
    </row>
    <row r="60">
      <c r="A60" s="18" t="n"/>
      <c r="B60" s="19" t="n"/>
      <c r="C60" s="20" t="n"/>
      <c r="D60" s="20" t="n"/>
      <c r="E60" s="20" t="n"/>
      <c r="F60" s="18" t="n"/>
      <c r="G60" s="21">
        <f>IF(E60="","",IFERROR(VLOOKUP(E60,'Catálogo'!$A$5:$B$504,2,FALSE),0))</f>
        <v/>
      </c>
      <c r="H60" s="21" t="n"/>
      <c r="I60" s="21">
        <f>IF(E60="","",MAX(F60*G60-N(H60),0))</f>
        <v/>
      </c>
      <c r="J60" s="19" t="n"/>
      <c r="K60" s="20" t="n"/>
      <c r="L60" s="20" t="n"/>
      <c r="M60" s="20" t="n"/>
      <c r="N60" s="20">
        <f>IF(OR(E60="",M60="Entregue",M60="Cancelado",J60=""),"",IF(J60&lt;TODAY(),"ATRASADO",IF(J60=TODAY(),"ENTREGA HOJE","")))</f>
        <v/>
      </c>
    </row>
    <row r="61">
      <c r="A61" s="18" t="n"/>
      <c r="B61" s="19" t="n"/>
      <c r="C61" s="20" t="n"/>
      <c r="D61" s="20" t="n"/>
      <c r="E61" s="20" t="n"/>
      <c r="F61" s="18" t="n"/>
      <c r="G61" s="21">
        <f>IF(E61="","",IFERROR(VLOOKUP(E61,'Catálogo'!$A$5:$B$504,2,FALSE),0))</f>
        <v/>
      </c>
      <c r="H61" s="21" t="n"/>
      <c r="I61" s="21">
        <f>IF(E61="","",MAX(F61*G61-N(H61),0))</f>
        <v/>
      </c>
      <c r="J61" s="19" t="n"/>
      <c r="K61" s="20" t="n"/>
      <c r="L61" s="20" t="n"/>
      <c r="M61" s="20" t="n"/>
      <c r="N61" s="20">
        <f>IF(OR(E61="",M61="Entregue",M61="Cancelado",J61=""),"",IF(J61&lt;TODAY(),"ATRASADO",IF(J61=TODAY(),"ENTREGA HOJE","")))</f>
        <v/>
      </c>
    </row>
    <row r="62">
      <c r="A62" s="18" t="n"/>
      <c r="B62" s="19" t="n"/>
      <c r="C62" s="20" t="n"/>
      <c r="D62" s="20" t="n"/>
      <c r="E62" s="20" t="n"/>
      <c r="F62" s="18" t="n"/>
      <c r="G62" s="21">
        <f>IF(E62="","",IFERROR(VLOOKUP(E62,'Catálogo'!$A$5:$B$504,2,FALSE),0))</f>
        <v/>
      </c>
      <c r="H62" s="21" t="n"/>
      <c r="I62" s="21">
        <f>IF(E62="","",MAX(F62*G62-N(H62),0))</f>
        <v/>
      </c>
      <c r="J62" s="19" t="n"/>
      <c r="K62" s="20" t="n"/>
      <c r="L62" s="20" t="n"/>
      <c r="M62" s="20" t="n"/>
      <c r="N62" s="20">
        <f>IF(OR(E62="",M62="Entregue",M62="Cancelado",J62=""),"",IF(J62&lt;TODAY(),"ATRASADO",IF(J62=TODAY(),"ENTREGA HOJE","")))</f>
        <v/>
      </c>
    </row>
    <row r="63">
      <c r="A63" s="18" t="n"/>
      <c r="B63" s="19" t="n"/>
      <c r="C63" s="20" t="n"/>
      <c r="D63" s="20" t="n"/>
      <c r="E63" s="20" t="n"/>
      <c r="F63" s="18" t="n"/>
      <c r="G63" s="21">
        <f>IF(E63="","",IFERROR(VLOOKUP(E63,'Catálogo'!$A$5:$B$504,2,FALSE),0))</f>
        <v/>
      </c>
      <c r="H63" s="21" t="n"/>
      <c r="I63" s="21">
        <f>IF(E63="","",MAX(F63*G63-N(H63),0))</f>
        <v/>
      </c>
      <c r="J63" s="19" t="n"/>
      <c r="K63" s="20" t="n"/>
      <c r="L63" s="20" t="n"/>
      <c r="M63" s="20" t="n"/>
      <c r="N63" s="20">
        <f>IF(OR(E63="",M63="Entregue",M63="Cancelado",J63=""),"",IF(J63&lt;TODAY(),"ATRASADO",IF(J63=TODAY(),"ENTREGA HOJE","")))</f>
        <v/>
      </c>
    </row>
    <row r="64">
      <c r="A64" s="18" t="n"/>
      <c r="B64" s="19" t="n"/>
      <c r="C64" s="20" t="n"/>
      <c r="D64" s="20" t="n"/>
      <c r="E64" s="20" t="n"/>
      <c r="F64" s="18" t="n"/>
      <c r="G64" s="21">
        <f>IF(E64="","",IFERROR(VLOOKUP(E64,'Catálogo'!$A$5:$B$504,2,FALSE),0))</f>
        <v/>
      </c>
      <c r="H64" s="21" t="n"/>
      <c r="I64" s="21">
        <f>IF(E64="","",MAX(F64*G64-N(H64),0))</f>
        <v/>
      </c>
      <c r="J64" s="19" t="n"/>
      <c r="K64" s="20" t="n"/>
      <c r="L64" s="20" t="n"/>
      <c r="M64" s="20" t="n"/>
      <c r="N64" s="20">
        <f>IF(OR(E64="",M64="Entregue",M64="Cancelado",J64=""),"",IF(J64&lt;TODAY(),"ATRASADO",IF(J64=TODAY(),"ENTREGA HOJE","")))</f>
        <v/>
      </c>
    </row>
    <row r="65">
      <c r="A65" s="18" t="n"/>
      <c r="B65" s="19" t="n"/>
      <c r="C65" s="20" t="n"/>
      <c r="D65" s="20" t="n"/>
      <c r="E65" s="20" t="n"/>
      <c r="F65" s="18" t="n"/>
      <c r="G65" s="21">
        <f>IF(E65="","",IFERROR(VLOOKUP(E65,'Catálogo'!$A$5:$B$504,2,FALSE),0))</f>
        <v/>
      </c>
      <c r="H65" s="21" t="n"/>
      <c r="I65" s="21">
        <f>IF(E65="","",MAX(F65*G65-N(H65),0))</f>
        <v/>
      </c>
      <c r="J65" s="19" t="n"/>
      <c r="K65" s="20" t="n"/>
      <c r="L65" s="20" t="n"/>
      <c r="M65" s="20" t="n"/>
      <c r="N65" s="20">
        <f>IF(OR(E65="",M65="Entregue",M65="Cancelado",J65=""),"",IF(J65&lt;TODAY(),"ATRASADO",IF(J65=TODAY(),"ENTREGA HOJE","")))</f>
        <v/>
      </c>
    </row>
    <row r="66">
      <c r="A66" s="18" t="n"/>
      <c r="B66" s="19" t="n"/>
      <c r="C66" s="20" t="n"/>
      <c r="D66" s="20" t="n"/>
      <c r="E66" s="20" t="n"/>
      <c r="F66" s="18" t="n"/>
      <c r="G66" s="21">
        <f>IF(E66="","",IFERROR(VLOOKUP(E66,'Catálogo'!$A$5:$B$504,2,FALSE),0))</f>
        <v/>
      </c>
      <c r="H66" s="21" t="n"/>
      <c r="I66" s="21">
        <f>IF(E66="","",MAX(F66*G66-N(H66),0))</f>
        <v/>
      </c>
      <c r="J66" s="19" t="n"/>
      <c r="K66" s="20" t="n"/>
      <c r="L66" s="20" t="n"/>
      <c r="M66" s="20" t="n"/>
      <c r="N66" s="20">
        <f>IF(OR(E66="",M66="Entregue",M66="Cancelado",J66=""),"",IF(J66&lt;TODAY(),"ATRASADO",IF(J66=TODAY(),"ENTREGA HOJE","")))</f>
        <v/>
      </c>
    </row>
    <row r="67">
      <c r="A67" s="18" t="n"/>
      <c r="B67" s="19" t="n"/>
      <c r="C67" s="20" t="n"/>
      <c r="D67" s="20" t="n"/>
      <c r="E67" s="20" t="n"/>
      <c r="F67" s="18" t="n"/>
      <c r="G67" s="21">
        <f>IF(E67="","",IFERROR(VLOOKUP(E67,'Catálogo'!$A$5:$B$504,2,FALSE),0))</f>
        <v/>
      </c>
      <c r="H67" s="21" t="n"/>
      <c r="I67" s="21">
        <f>IF(E67="","",MAX(F67*G67-N(H67),0))</f>
        <v/>
      </c>
      <c r="J67" s="19" t="n"/>
      <c r="K67" s="20" t="n"/>
      <c r="L67" s="20" t="n"/>
      <c r="M67" s="20" t="n"/>
      <c r="N67" s="20">
        <f>IF(OR(E67="",M67="Entregue",M67="Cancelado",J67=""),"",IF(J67&lt;TODAY(),"ATRASADO",IF(J67=TODAY(),"ENTREGA HOJE","")))</f>
        <v/>
      </c>
    </row>
    <row r="68">
      <c r="A68" s="18" t="n"/>
      <c r="B68" s="19" t="n"/>
      <c r="C68" s="20" t="n"/>
      <c r="D68" s="20" t="n"/>
      <c r="E68" s="20" t="n"/>
      <c r="F68" s="18" t="n"/>
      <c r="G68" s="21">
        <f>IF(E68="","",IFERROR(VLOOKUP(E68,'Catálogo'!$A$5:$B$504,2,FALSE),0))</f>
        <v/>
      </c>
      <c r="H68" s="21" t="n"/>
      <c r="I68" s="21">
        <f>IF(E68="","",MAX(F68*G68-N(H68),0))</f>
        <v/>
      </c>
      <c r="J68" s="19" t="n"/>
      <c r="K68" s="20" t="n"/>
      <c r="L68" s="20" t="n"/>
      <c r="M68" s="20" t="n"/>
      <c r="N68" s="20">
        <f>IF(OR(E68="",M68="Entregue",M68="Cancelado",J68=""),"",IF(J68&lt;TODAY(),"ATRASADO",IF(J68=TODAY(),"ENTREGA HOJE","")))</f>
        <v/>
      </c>
    </row>
    <row r="69">
      <c r="A69" s="18" t="n"/>
      <c r="B69" s="19" t="n"/>
      <c r="C69" s="20" t="n"/>
      <c r="D69" s="20" t="n"/>
      <c r="E69" s="20" t="n"/>
      <c r="F69" s="18" t="n"/>
      <c r="G69" s="21">
        <f>IF(E69="","",IFERROR(VLOOKUP(E69,'Catálogo'!$A$5:$B$504,2,FALSE),0))</f>
        <v/>
      </c>
      <c r="H69" s="21" t="n"/>
      <c r="I69" s="21">
        <f>IF(E69="","",MAX(F69*G69-N(H69),0))</f>
        <v/>
      </c>
      <c r="J69" s="19" t="n"/>
      <c r="K69" s="20" t="n"/>
      <c r="L69" s="20" t="n"/>
      <c r="M69" s="20" t="n"/>
      <c r="N69" s="20">
        <f>IF(OR(E69="",M69="Entregue",M69="Cancelado",J69=""),"",IF(J69&lt;TODAY(),"ATRASADO",IF(J69=TODAY(),"ENTREGA HOJE","")))</f>
        <v/>
      </c>
    </row>
    <row r="70">
      <c r="A70" s="18" t="n"/>
      <c r="B70" s="19" t="n"/>
      <c r="C70" s="20" t="n"/>
      <c r="D70" s="20" t="n"/>
      <c r="E70" s="20" t="n"/>
      <c r="F70" s="18" t="n"/>
      <c r="G70" s="21">
        <f>IF(E70="","",IFERROR(VLOOKUP(E70,'Catálogo'!$A$5:$B$504,2,FALSE),0))</f>
        <v/>
      </c>
      <c r="H70" s="21" t="n"/>
      <c r="I70" s="21">
        <f>IF(E70="","",MAX(F70*G70-N(H70),0))</f>
        <v/>
      </c>
      <c r="J70" s="19" t="n"/>
      <c r="K70" s="20" t="n"/>
      <c r="L70" s="20" t="n"/>
      <c r="M70" s="20" t="n"/>
      <c r="N70" s="20">
        <f>IF(OR(E70="",M70="Entregue",M70="Cancelado",J70=""),"",IF(J70&lt;TODAY(),"ATRASADO",IF(J70=TODAY(),"ENTREGA HOJE","")))</f>
        <v/>
      </c>
    </row>
    <row r="71">
      <c r="A71" s="18" t="n"/>
      <c r="B71" s="19" t="n"/>
      <c r="C71" s="20" t="n"/>
      <c r="D71" s="20" t="n"/>
      <c r="E71" s="20" t="n"/>
      <c r="F71" s="18" t="n"/>
      <c r="G71" s="21">
        <f>IF(E71="","",IFERROR(VLOOKUP(E71,'Catálogo'!$A$5:$B$504,2,FALSE),0))</f>
        <v/>
      </c>
      <c r="H71" s="21" t="n"/>
      <c r="I71" s="21">
        <f>IF(E71="","",MAX(F71*G71-N(H71),0))</f>
        <v/>
      </c>
      <c r="J71" s="19" t="n"/>
      <c r="K71" s="20" t="n"/>
      <c r="L71" s="20" t="n"/>
      <c r="M71" s="20" t="n"/>
      <c r="N71" s="20">
        <f>IF(OR(E71="",M71="Entregue",M71="Cancelado",J71=""),"",IF(J71&lt;TODAY(),"ATRASADO",IF(J71=TODAY(),"ENTREGA HOJE","")))</f>
        <v/>
      </c>
    </row>
    <row r="72">
      <c r="A72" s="18" t="n"/>
      <c r="B72" s="19" t="n"/>
      <c r="C72" s="20" t="n"/>
      <c r="D72" s="20" t="n"/>
      <c r="E72" s="20" t="n"/>
      <c r="F72" s="18" t="n"/>
      <c r="G72" s="21">
        <f>IF(E72="","",IFERROR(VLOOKUP(E72,'Catálogo'!$A$5:$B$504,2,FALSE),0))</f>
        <v/>
      </c>
      <c r="H72" s="21" t="n"/>
      <c r="I72" s="21">
        <f>IF(E72="","",MAX(F72*G72-N(H72),0))</f>
        <v/>
      </c>
      <c r="J72" s="19" t="n"/>
      <c r="K72" s="20" t="n"/>
      <c r="L72" s="20" t="n"/>
      <c r="M72" s="20" t="n"/>
      <c r="N72" s="20">
        <f>IF(OR(E72="",M72="Entregue",M72="Cancelado",J72=""),"",IF(J72&lt;TODAY(),"ATRASADO",IF(J72=TODAY(),"ENTREGA HOJE","")))</f>
        <v/>
      </c>
    </row>
    <row r="73">
      <c r="A73" s="18" t="n"/>
      <c r="B73" s="19" t="n"/>
      <c r="C73" s="20" t="n"/>
      <c r="D73" s="20" t="n"/>
      <c r="E73" s="20" t="n"/>
      <c r="F73" s="18" t="n"/>
      <c r="G73" s="21">
        <f>IF(E73="","",IFERROR(VLOOKUP(E73,'Catálogo'!$A$5:$B$504,2,FALSE),0))</f>
        <v/>
      </c>
      <c r="H73" s="21" t="n"/>
      <c r="I73" s="21">
        <f>IF(E73="","",MAX(F73*G73-N(H73),0))</f>
        <v/>
      </c>
      <c r="J73" s="19" t="n"/>
      <c r="K73" s="20" t="n"/>
      <c r="L73" s="20" t="n"/>
      <c r="M73" s="20" t="n"/>
      <c r="N73" s="20">
        <f>IF(OR(E73="",M73="Entregue",M73="Cancelado",J73=""),"",IF(J73&lt;TODAY(),"ATRASADO",IF(J73=TODAY(),"ENTREGA HOJE","")))</f>
        <v/>
      </c>
    </row>
    <row r="74">
      <c r="A74" s="18" t="n"/>
      <c r="B74" s="19" t="n"/>
      <c r="C74" s="20" t="n"/>
      <c r="D74" s="20" t="n"/>
      <c r="E74" s="20" t="n"/>
      <c r="F74" s="18" t="n"/>
      <c r="G74" s="21">
        <f>IF(E74="","",IFERROR(VLOOKUP(E74,'Catálogo'!$A$5:$B$504,2,FALSE),0))</f>
        <v/>
      </c>
      <c r="H74" s="21" t="n"/>
      <c r="I74" s="21">
        <f>IF(E74="","",MAX(F74*G74-N(H74),0))</f>
        <v/>
      </c>
      <c r="J74" s="19" t="n"/>
      <c r="K74" s="20" t="n"/>
      <c r="L74" s="20" t="n"/>
      <c r="M74" s="20" t="n"/>
      <c r="N74" s="20">
        <f>IF(OR(E74="",M74="Entregue",M74="Cancelado",J74=""),"",IF(J74&lt;TODAY(),"ATRASADO",IF(J74=TODAY(),"ENTREGA HOJE","")))</f>
        <v/>
      </c>
    </row>
    <row r="75">
      <c r="A75" s="18" t="n"/>
      <c r="B75" s="19" t="n"/>
      <c r="C75" s="20" t="n"/>
      <c r="D75" s="20" t="n"/>
      <c r="E75" s="20" t="n"/>
      <c r="F75" s="18" t="n"/>
      <c r="G75" s="21">
        <f>IF(E75="","",IFERROR(VLOOKUP(E75,'Catálogo'!$A$5:$B$504,2,FALSE),0))</f>
        <v/>
      </c>
      <c r="H75" s="21" t="n"/>
      <c r="I75" s="21">
        <f>IF(E75="","",MAX(F75*G75-N(H75),0))</f>
        <v/>
      </c>
      <c r="J75" s="19" t="n"/>
      <c r="K75" s="20" t="n"/>
      <c r="L75" s="20" t="n"/>
      <c r="M75" s="20" t="n"/>
      <c r="N75" s="20">
        <f>IF(OR(E75="",M75="Entregue",M75="Cancelado",J75=""),"",IF(J75&lt;TODAY(),"ATRASADO",IF(J75=TODAY(),"ENTREGA HOJE","")))</f>
        <v/>
      </c>
    </row>
    <row r="76">
      <c r="A76" s="18" t="n"/>
      <c r="B76" s="19" t="n"/>
      <c r="C76" s="20" t="n"/>
      <c r="D76" s="20" t="n"/>
      <c r="E76" s="20" t="n"/>
      <c r="F76" s="18" t="n"/>
      <c r="G76" s="21">
        <f>IF(E76="","",IFERROR(VLOOKUP(E76,'Catálogo'!$A$5:$B$504,2,FALSE),0))</f>
        <v/>
      </c>
      <c r="H76" s="21" t="n"/>
      <c r="I76" s="21">
        <f>IF(E76="","",MAX(F76*G76-N(H76),0))</f>
        <v/>
      </c>
      <c r="J76" s="19" t="n"/>
      <c r="K76" s="20" t="n"/>
      <c r="L76" s="20" t="n"/>
      <c r="M76" s="20" t="n"/>
      <c r="N76" s="20">
        <f>IF(OR(E76="",M76="Entregue",M76="Cancelado",J76=""),"",IF(J76&lt;TODAY(),"ATRASADO",IF(J76=TODAY(),"ENTREGA HOJE","")))</f>
        <v/>
      </c>
    </row>
    <row r="77">
      <c r="A77" s="18" t="n"/>
      <c r="B77" s="19" t="n"/>
      <c r="C77" s="20" t="n"/>
      <c r="D77" s="20" t="n"/>
      <c r="E77" s="20" t="n"/>
      <c r="F77" s="18" t="n"/>
      <c r="G77" s="21">
        <f>IF(E77="","",IFERROR(VLOOKUP(E77,'Catálogo'!$A$5:$B$504,2,FALSE),0))</f>
        <v/>
      </c>
      <c r="H77" s="21" t="n"/>
      <c r="I77" s="21">
        <f>IF(E77="","",MAX(F77*G77-N(H77),0))</f>
        <v/>
      </c>
      <c r="J77" s="19" t="n"/>
      <c r="K77" s="20" t="n"/>
      <c r="L77" s="20" t="n"/>
      <c r="M77" s="20" t="n"/>
      <c r="N77" s="20">
        <f>IF(OR(E77="",M77="Entregue",M77="Cancelado",J77=""),"",IF(J77&lt;TODAY(),"ATRASADO",IF(J77=TODAY(),"ENTREGA HOJE","")))</f>
        <v/>
      </c>
    </row>
    <row r="78">
      <c r="A78" s="18" t="n"/>
      <c r="B78" s="19" t="n"/>
      <c r="C78" s="20" t="n"/>
      <c r="D78" s="20" t="n"/>
      <c r="E78" s="20" t="n"/>
      <c r="F78" s="18" t="n"/>
      <c r="G78" s="21">
        <f>IF(E78="","",IFERROR(VLOOKUP(E78,'Catálogo'!$A$5:$B$504,2,FALSE),0))</f>
        <v/>
      </c>
      <c r="H78" s="21" t="n"/>
      <c r="I78" s="21">
        <f>IF(E78="","",MAX(F78*G78-N(H78),0))</f>
        <v/>
      </c>
      <c r="J78" s="19" t="n"/>
      <c r="K78" s="20" t="n"/>
      <c r="L78" s="20" t="n"/>
      <c r="M78" s="20" t="n"/>
      <c r="N78" s="20">
        <f>IF(OR(E78="",M78="Entregue",M78="Cancelado",J78=""),"",IF(J78&lt;TODAY(),"ATRASADO",IF(J78=TODAY(),"ENTREGA HOJE","")))</f>
        <v/>
      </c>
    </row>
    <row r="79">
      <c r="A79" s="18" t="n"/>
      <c r="B79" s="19" t="n"/>
      <c r="C79" s="20" t="n"/>
      <c r="D79" s="20" t="n"/>
      <c r="E79" s="20" t="n"/>
      <c r="F79" s="18" t="n"/>
      <c r="G79" s="21">
        <f>IF(E79="","",IFERROR(VLOOKUP(E79,'Catálogo'!$A$5:$B$504,2,FALSE),0))</f>
        <v/>
      </c>
      <c r="H79" s="21" t="n"/>
      <c r="I79" s="21">
        <f>IF(E79="","",MAX(F79*G79-N(H79),0))</f>
        <v/>
      </c>
      <c r="J79" s="19" t="n"/>
      <c r="K79" s="20" t="n"/>
      <c r="L79" s="20" t="n"/>
      <c r="M79" s="20" t="n"/>
      <c r="N79" s="20">
        <f>IF(OR(E79="",M79="Entregue",M79="Cancelado",J79=""),"",IF(J79&lt;TODAY(),"ATRASADO",IF(J79=TODAY(),"ENTREGA HOJE","")))</f>
        <v/>
      </c>
    </row>
    <row r="80">
      <c r="A80" s="18" t="n"/>
      <c r="B80" s="19" t="n"/>
      <c r="C80" s="20" t="n"/>
      <c r="D80" s="20" t="n"/>
      <c r="E80" s="20" t="n"/>
      <c r="F80" s="18" t="n"/>
      <c r="G80" s="21">
        <f>IF(E80="","",IFERROR(VLOOKUP(E80,'Catálogo'!$A$5:$B$504,2,FALSE),0))</f>
        <v/>
      </c>
      <c r="H80" s="21" t="n"/>
      <c r="I80" s="21">
        <f>IF(E80="","",MAX(F80*G80-N(H80),0))</f>
        <v/>
      </c>
      <c r="J80" s="19" t="n"/>
      <c r="K80" s="20" t="n"/>
      <c r="L80" s="20" t="n"/>
      <c r="M80" s="20" t="n"/>
      <c r="N80" s="20">
        <f>IF(OR(E80="",M80="Entregue",M80="Cancelado",J80=""),"",IF(J80&lt;TODAY(),"ATRASADO",IF(J80=TODAY(),"ENTREGA HOJE","")))</f>
        <v/>
      </c>
    </row>
    <row r="81">
      <c r="A81" s="18" t="n"/>
      <c r="B81" s="19" t="n"/>
      <c r="C81" s="20" t="n"/>
      <c r="D81" s="20" t="n"/>
      <c r="E81" s="20" t="n"/>
      <c r="F81" s="18" t="n"/>
      <c r="G81" s="21">
        <f>IF(E81="","",IFERROR(VLOOKUP(E81,'Catálogo'!$A$5:$B$504,2,FALSE),0))</f>
        <v/>
      </c>
      <c r="H81" s="21" t="n"/>
      <c r="I81" s="21">
        <f>IF(E81="","",MAX(F81*G81-N(H81),0))</f>
        <v/>
      </c>
      <c r="J81" s="19" t="n"/>
      <c r="K81" s="20" t="n"/>
      <c r="L81" s="20" t="n"/>
      <c r="M81" s="20" t="n"/>
      <c r="N81" s="20">
        <f>IF(OR(E81="",M81="Entregue",M81="Cancelado",J81=""),"",IF(J81&lt;TODAY(),"ATRASADO",IF(J81=TODAY(),"ENTREGA HOJE","")))</f>
        <v/>
      </c>
    </row>
    <row r="82">
      <c r="A82" s="18" t="n"/>
      <c r="B82" s="19" t="n"/>
      <c r="C82" s="20" t="n"/>
      <c r="D82" s="20" t="n"/>
      <c r="E82" s="20" t="n"/>
      <c r="F82" s="18" t="n"/>
      <c r="G82" s="21">
        <f>IF(E82="","",IFERROR(VLOOKUP(E82,'Catálogo'!$A$5:$B$504,2,FALSE),0))</f>
        <v/>
      </c>
      <c r="H82" s="21" t="n"/>
      <c r="I82" s="21">
        <f>IF(E82="","",MAX(F82*G82-N(H82),0))</f>
        <v/>
      </c>
      <c r="J82" s="19" t="n"/>
      <c r="K82" s="20" t="n"/>
      <c r="L82" s="20" t="n"/>
      <c r="M82" s="20" t="n"/>
      <c r="N82" s="20">
        <f>IF(OR(E82="",M82="Entregue",M82="Cancelado",J82=""),"",IF(J82&lt;TODAY(),"ATRASADO",IF(J82=TODAY(),"ENTREGA HOJE","")))</f>
        <v/>
      </c>
    </row>
    <row r="83">
      <c r="A83" s="18" t="n"/>
      <c r="B83" s="19" t="n"/>
      <c r="C83" s="20" t="n"/>
      <c r="D83" s="20" t="n"/>
      <c r="E83" s="20" t="n"/>
      <c r="F83" s="18" t="n"/>
      <c r="G83" s="21">
        <f>IF(E83="","",IFERROR(VLOOKUP(E83,'Catálogo'!$A$5:$B$504,2,FALSE),0))</f>
        <v/>
      </c>
      <c r="H83" s="21" t="n"/>
      <c r="I83" s="21">
        <f>IF(E83="","",MAX(F83*G83-N(H83),0))</f>
        <v/>
      </c>
      <c r="J83" s="19" t="n"/>
      <c r="K83" s="20" t="n"/>
      <c r="L83" s="20" t="n"/>
      <c r="M83" s="20" t="n"/>
      <c r="N83" s="20">
        <f>IF(OR(E83="",M83="Entregue",M83="Cancelado",J83=""),"",IF(J83&lt;TODAY(),"ATRASADO",IF(J83=TODAY(),"ENTREGA HOJE","")))</f>
        <v/>
      </c>
    </row>
    <row r="84">
      <c r="A84" s="18" t="n"/>
      <c r="B84" s="19" t="n"/>
      <c r="C84" s="20" t="n"/>
      <c r="D84" s="20" t="n"/>
      <c r="E84" s="20" t="n"/>
      <c r="F84" s="18" t="n"/>
      <c r="G84" s="21">
        <f>IF(E84="","",IFERROR(VLOOKUP(E84,'Catálogo'!$A$5:$B$504,2,FALSE),0))</f>
        <v/>
      </c>
      <c r="H84" s="21" t="n"/>
      <c r="I84" s="21">
        <f>IF(E84="","",MAX(F84*G84-N(H84),0))</f>
        <v/>
      </c>
      <c r="J84" s="19" t="n"/>
      <c r="K84" s="20" t="n"/>
      <c r="L84" s="20" t="n"/>
      <c r="M84" s="20" t="n"/>
      <c r="N84" s="20">
        <f>IF(OR(E84="",M84="Entregue",M84="Cancelado",J84=""),"",IF(J84&lt;TODAY(),"ATRASADO",IF(J84=TODAY(),"ENTREGA HOJE","")))</f>
        <v/>
      </c>
    </row>
    <row r="85">
      <c r="A85" s="18" t="n"/>
      <c r="B85" s="19" t="n"/>
      <c r="C85" s="20" t="n"/>
      <c r="D85" s="20" t="n"/>
      <c r="E85" s="20" t="n"/>
      <c r="F85" s="18" t="n"/>
      <c r="G85" s="21">
        <f>IF(E85="","",IFERROR(VLOOKUP(E85,'Catálogo'!$A$5:$B$504,2,FALSE),0))</f>
        <v/>
      </c>
      <c r="H85" s="21" t="n"/>
      <c r="I85" s="21">
        <f>IF(E85="","",MAX(F85*G85-N(H85),0))</f>
        <v/>
      </c>
      <c r="J85" s="19" t="n"/>
      <c r="K85" s="20" t="n"/>
      <c r="L85" s="20" t="n"/>
      <c r="M85" s="20" t="n"/>
      <c r="N85" s="20">
        <f>IF(OR(E85="",M85="Entregue",M85="Cancelado",J85=""),"",IF(J85&lt;TODAY(),"ATRASADO",IF(J85=TODAY(),"ENTREGA HOJE","")))</f>
        <v/>
      </c>
    </row>
    <row r="86">
      <c r="A86" s="18" t="n"/>
      <c r="B86" s="19" t="n"/>
      <c r="C86" s="20" t="n"/>
      <c r="D86" s="20" t="n"/>
      <c r="E86" s="20" t="n"/>
      <c r="F86" s="18" t="n"/>
      <c r="G86" s="21">
        <f>IF(E86="","",IFERROR(VLOOKUP(E86,'Catálogo'!$A$5:$B$504,2,FALSE),0))</f>
        <v/>
      </c>
      <c r="H86" s="21" t="n"/>
      <c r="I86" s="21">
        <f>IF(E86="","",MAX(F86*G86-N(H86),0))</f>
        <v/>
      </c>
      <c r="J86" s="19" t="n"/>
      <c r="K86" s="20" t="n"/>
      <c r="L86" s="20" t="n"/>
      <c r="M86" s="20" t="n"/>
      <c r="N86" s="20">
        <f>IF(OR(E86="",M86="Entregue",M86="Cancelado",J86=""),"",IF(J86&lt;TODAY(),"ATRASADO",IF(J86=TODAY(),"ENTREGA HOJE","")))</f>
        <v/>
      </c>
    </row>
    <row r="87">
      <c r="A87" s="18" t="n"/>
      <c r="B87" s="19" t="n"/>
      <c r="C87" s="20" t="n"/>
      <c r="D87" s="20" t="n"/>
      <c r="E87" s="20" t="n"/>
      <c r="F87" s="18" t="n"/>
      <c r="G87" s="21">
        <f>IF(E87="","",IFERROR(VLOOKUP(E87,'Catálogo'!$A$5:$B$504,2,FALSE),0))</f>
        <v/>
      </c>
      <c r="H87" s="21" t="n"/>
      <c r="I87" s="21">
        <f>IF(E87="","",MAX(F87*G87-N(H87),0))</f>
        <v/>
      </c>
      <c r="J87" s="19" t="n"/>
      <c r="K87" s="20" t="n"/>
      <c r="L87" s="20" t="n"/>
      <c r="M87" s="20" t="n"/>
      <c r="N87" s="20">
        <f>IF(OR(E87="",M87="Entregue",M87="Cancelado",J87=""),"",IF(J87&lt;TODAY(),"ATRASADO",IF(J87=TODAY(),"ENTREGA HOJE","")))</f>
        <v/>
      </c>
    </row>
    <row r="88">
      <c r="A88" s="18" t="n"/>
      <c r="B88" s="19" t="n"/>
      <c r="C88" s="20" t="n"/>
      <c r="D88" s="20" t="n"/>
      <c r="E88" s="20" t="n"/>
      <c r="F88" s="18" t="n"/>
      <c r="G88" s="21">
        <f>IF(E88="","",IFERROR(VLOOKUP(E88,'Catálogo'!$A$5:$B$504,2,FALSE),0))</f>
        <v/>
      </c>
      <c r="H88" s="21" t="n"/>
      <c r="I88" s="21">
        <f>IF(E88="","",MAX(F88*G88-N(H88),0))</f>
        <v/>
      </c>
      <c r="J88" s="19" t="n"/>
      <c r="K88" s="20" t="n"/>
      <c r="L88" s="20" t="n"/>
      <c r="M88" s="20" t="n"/>
      <c r="N88" s="20">
        <f>IF(OR(E88="",M88="Entregue",M88="Cancelado",J88=""),"",IF(J88&lt;TODAY(),"ATRASADO",IF(J88=TODAY(),"ENTREGA HOJE","")))</f>
        <v/>
      </c>
    </row>
    <row r="89">
      <c r="A89" s="18" t="n"/>
      <c r="B89" s="19" t="n"/>
      <c r="C89" s="20" t="n"/>
      <c r="D89" s="20" t="n"/>
      <c r="E89" s="20" t="n"/>
      <c r="F89" s="18" t="n"/>
      <c r="G89" s="21">
        <f>IF(E89="","",IFERROR(VLOOKUP(E89,'Catálogo'!$A$5:$B$504,2,FALSE),0))</f>
        <v/>
      </c>
      <c r="H89" s="21" t="n"/>
      <c r="I89" s="21">
        <f>IF(E89="","",MAX(F89*G89-N(H89),0))</f>
        <v/>
      </c>
      <c r="J89" s="19" t="n"/>
      <c r="K89" s="20" t="n"/>
      <c r="L89" s="20" t="n"/>
      <c r="M89" s="20" t="n"/>
      <c r="N89" s="20">
        <f>IF(OR(E89="",M89="Entregue",M89="Cancelado",J89=""),"",IF(J89&lt;TODAY(),"ATRASADO",IF(J89=TODAY(),"ENTREGA HOJE","")))</f>
        <v/>
      </c>
    </row>
    <row r="90">
      <c r="A90" s="18" t="n"/>
      <c r="B90" s="19" t="n"/>
      <c r="C90" s="20" t="n"/>
      <c r="D90" s="20" t="n"/>
      <c r="E90" s="20" t="n"/>
      <c r="F90" s="18" t="n"/>
      <c r="G90" s="21">
        <f>IF(E90="","",IFERROR(VLOOKUP(E90,'Catálogo'!$A$5:$B$504,2,FALSE),0))</f>
        <v/>
      </c>
      <c r="H90" s="21" t="n"/>
      <c r="I90" s="21">
        <f>IF(E90="","",MAX(F90*G90-N(H90),0))</f>
        <v/>
      </c>
      <c r="J90" s="19" t="n"/>
      <c r="K90" s="20" t="n"/>
      <c r="L90" s="20" t="n"/>
      <c r="M90" s="20" t="n"/>
      <c r="N90" s="20">
        <f>IF(OR(E90="",M90="Entregue",M90="Cancelado",J90=""),"",IF(J90&lt;TODAY(),"ATRASADO",IF(J90=TODAY(),"ENTREGA HOJE","")))</f>
        <v/>
      </c>
    </row>
    <row r="91">
      <c r="A91" s="18" t="n"/>
      <c r="B91" s="19" t="n"/>
      <c r="C91" s="20" t="n"/>
      <c r="D91" s="20" t="n"/>
      <c r="E91" s="20" t="n"/>
      <c r="F91" s="18" t="n"/>
      <c r="G91" s="21">
        <f>IF(E91="","",IFERROR(VLOOKUP(E91,'Catálogo'!$A$5:$B$504,2,FALSE),0))</f>
        <v/>
      </c>
      <c r="H91" s="21" t="n"/>
      <c r="I91" s="21">
        <f>IF(E91="","",MAX(F91*G91-N(H91),0))</f>
        <v/>
      </c>
      <c r="J91" s="19" t="n"/>
      <c r="K91" s="20" t="n"/>
      <c r="L91" s="20" t="n"/>
      <c r="M91" s="20" t="n"/>
      <c r="N91" s="20">
        <f>IF(OR(E91="",M91="Entregue",M91="Cancelado",J91=""),"",IF(J91&lt;TODAY(),"ATRASADO",IF(J91=TODAY(),"ENTREGA HOJE","")))</f>
        <v/>
      </c>
    </row>
    <row r="92">
      <c r="A92" s="18" t="n"/>
      <c r="B92" s="19" t="n"/>
      <c r="C92" s="20" t="n"/>
      <c r="D92" s="20" t="n"/>
      <c r="E92" s="20" t="n"/>
      <c r="F92" s="18" t="n"/>
      <c r="G92" s="21">
        <f>IF(E92="","",IFERROR(VLOOKUP(E92,'Catálogo'!$A$5:$B$504,2,FALSE),0))</f>
        <v/>
      </c>
      <c r="H92" s="21" t="n"/>
      <c r="I92" s="21">
        <f>IF(E92="","",MAX(F92*G92-N(H92),0))</f>
        <v/>
      </c>
      <c r="J92" s="19" t="n"/>
      <c r="K92" s="20" t="n"/>
      <c r="L92" s="20" t="n"/>
      <c r="M92" s="20" t="n"/>
      <c r="N92" s="20">
        <f>IF(OR(E92="",M92="Entregue",M92="Cancelado",J92=""),"",IF(J92&lt;TODAY(),"ATRASADO",IF(J92=TODAY(),"ENTREGA HOJE","")))</f>
        <v/>
      </c>
    </row>
    <row r="93">
      <c r="A93" s="18" t="n"/>
      <c r="B93" s="19" t="n"/>
      <c r="C93" s="20" t="n"/>
      <c r="D93" s="20" t="n"/>
      <c r="E93" s="20" t="n"/>
      <c r="F93" s="18" t="n"/>
      <c r="G93" s="21">
        <f>IF(E93="","",IFERROR(VLOOKUP(E93,'Catálogo'!$A$5:$B$504,2,FALSE),0))</f>
        <v/>
      </c>
      <c r="H93" s="21" t="n"/>
      <c r="I93" s="21">
        <f>IF(E93="","",MAX(F93*G93-N(H93),0))</f>
        <v/>
      </c>
      <c r="J93" s="19" t="n"/>
      <c r="K93" s="20" t="n"/>
      <c r="L93" s="20" t="n"/>
      <c r="M93" s="20" t="n"/>
      <c r="N93" s="20">
        <f>IF(OR(E93="",M93="Entregue",M93="Cancelado",J93=""),"",IF(J93&lt;TODAY(),"ATRASADO",IF(J93=TODAY(),"ENTREGA HOJE","")))</f>
        <v/>
      </c>
    </row>
    <row r="94">
      <c r="A94" s="18" t="n"/>
      <c r="B94" s="19" t="n"/>
      <c r="C94" s="20" t="n"/>
      <c r="D94" s="20" t="n"/>
      <c r="E94" s="20" t="n"/>
      <c r="F94" s="18" t="n"/>
      <c r="G94" s="21">
        <f>IF(E94="","",IFERROR(VLOOKUP(E94,'Catálogo'!$A$5:$B$504,2,FALSE),0))</f>
        <v/>
      </c>
      <c r="H94" s="21" t="n"/>
      <c r="I94" s="21">
        <f>IF(E94="","",MAX(F94*G94-N(H94),0))</f>
        <v/>
      </c>
      <c r="J94" s="19" t="n"/>
      <c r="K94" s="20" t="n"/>
      <c r="L94" s="20" t="n"/>
      <c r="M94" s="20" t="n"/>
      <c r="N94" s="20">
        <f>IF(OR(E94="",M94="Entregue",M94="Cancelado",J94=""),"",IF(J94&lt;TODAY(),"ATRASADO",IF(J94=TODAY(),"ENTREGA HOJE","")))</f>
        <v/>
      </c>
    </row>
    <row r="95">
      <c r="A95" s="18" t="n"/>
      <c r="B95" s="19" t="n"/>
      <c r="C95" s="20" t="n"/>
      <c r="D95" s="20" t="n"/>
      <c r="E95" s="20" t="n"/>
      <c r="F95" s="18" t="n"/>
      <c r="G95" s="21">
        <f>IF(E95="","",IFERROR(VLOOKUP(E95,'Catálogo'!$A$5:$B$504,2,FALSE),0))</f>
        <v/>
      </c>
      <c r="H95" s="21" t="n"/>
      <c r="I95" s="21">
        <f>IF(E95="","",MAX(F95*G95-N(H95),0))</f>
        <v/>
      </c>
      <c r="J95" s="19" t="n"/>
      <c r="K95" s="20" t="n"/>
      <c r="L95" s="20" t="n"/>
      <c r="M95" s="20" t="n"/>
      <c r="N95" s="20">
        <f>IF(OR(E95="",M95="Entregue",M95="Cancelado",J95=""),"",IF(J95&lt;TODAY(),"ATRASADO",IF(J95=TODAY(),"ENTREGA HOJE","")))</f>
        <v/>
      </c>
    </row>
    <row r="96">
      <c r="A96" s="18" t="n"/>
      <c r="B96" s="19" t="n"/>
      <c r="C96" s="20" t="n"/>
      <c r="D96" s="20" t="n"/>
      <c r="E96" s="20" t="n"/>
      <c r="F96" s="18" t="n"/>
      <c r="G96" s="21">
        <f>IF(E96="","",IFERROR(VLOOKUP(E96,'Catálogo'!$A$5:$B$504,2,FALSE),0))</f>
        <v/>
      </c>
      <c r="H96" s="21" t="n"/>
      <c r="I96" s="21">
        <f>IF(E96="","",MAX(F96*G96-N(H96),0))</f>
        <v/>
      </c>
      <c r="J96" s="19" t="n"/>
      <c r="K96" s="20" t="n"/>
      <c r="L96" s="20" t="n"/>
      <c r="M96" s="20" t="n"/>
      <c r="N96" s="20">
        <f>IF(OR(E96="",M96="Entregue",M96="Cancelado",J96=""),"",IF(J96&lt;TODAY(),"ATRASADO",IF(J96=TODAY(),"ENTREGA HOJE","")))</f>
        <v/>
      </c>
    </row>
    <row r="97">
      <c r="A97" s="18" t="n"/>
      <c r="B97" s="19" t="n"/>
      <c r="C97" s="20" t="n"/>
      <c r="D97" s="20" t="n"/>
      <c r="E97" s="20" t="n"/>
      <c r="F97" s="18" t="n"/>
      <c r="G97" s="21">
        <f>IF(E97="","",IFERROR(VLOOKUP(E97,'Catálogo'!$A$5:$B$504,2,FALSE),0))</f>
        <v/>
      </c>
      <c r="H97" s="21" t="n"/>
      <c r="I97" s="21">
        <f>IF(E97="","",MAX(F97*G97-N(H97),0))</f>
        <v/>
      </c>
      <c r="J97" s="19" t="n"/>
      <c r="K97" s="20" t="n"/>
      <c r="L97" s="20" t="n"/>
      <c r="M97" s="20" t="n"/>
      <c r="N97" s="20">
        <f>IF(OR(E97="",M97="Entregue",M97="Cancelado",J97=""),"",IF(J97&lt;TODAY(),"ATRASADO",IF(J97=TODAY(),"ENTREGA HOJE","")))</f>
        <v/>
      </c>
    </row>
    <row r="98">
      <c r="A98" s="18" t="n"/>
      <c r="B98" s="19" t="n"/>
      <c r="C98" s="20" t="n"/>
      <c r="D98" s="20" t="n"/>
      <c r="E98" s="20" t="n"/>
      <c r="F98" s="18" t="n"/>
      <c r="G98" s="21">
        <f>IF(E98="","",IFERROR(VLOOKUP(E98,'Catálogo'!$A$5:$B$504,2,FALSE),0))</f>
        <v/>
      </c>
      <c r="H98" s="21" t="n"/>
      <c r="I98" s="21">
        <f>IF(E98="","",MAX(F98*G98-N(H98),0))</f>
        <v/>
      </c>
      <c r="J98" s="19" t="n"/>
      <c r="K98" s="20" t="n"/>
      <c r="L98" s="20" t="n"/>
      <c r="M98" s="20" t="n"/>
      <c r="N98" s="20">
        <f>IF(OR(E98="",M98="Entregue",M98="Cancelado",J98=""),"",IF(J98&lt;TODAY(),"ATRASADO",IF(J98=TODAY(),"ENTREGA HOJE","")))</f>
        <v/>
      </c>
    </row>
    <row r="99">
      <c r="A99" s="18" t="n"/>
      <c r="B99" s="19" t="n"/>
      <c r="C99" s="20" t="n"/>
      <c r="D99" s="20" t="n"/>
      <c r="E99" s="20" t="n"/>
      <c r="F99" s="18" t="n"/>
      <c r="G99" s="21">
        <f>IF(E99="","",IFERROR(VLOOKUP(E99,'Catálogo'!$A$5:$B$504,2,FALSE),0))</f>
        <v/>
      </c>
      <c r="H99" s="21" t="n"/>
      <c r="I99" s="21">
        <f>IF(E99="","",MAX(F99*G99-N(H99),0))</f>
        <v/>
      </c>
      <c r="J99" s="19" t="n"/>
      <c r="K99" s="20" t="n"/>
      <c r="L99" s="20" t="n"/>
      <c r="M99" s="20" t="n"/>
      <c r="N99" s="20">
        <f>IF(OR(E99="",M99="Entregue",M99="Cancelado",J99=""),"",IF(J99&lt;TODAY(),"ATRASADO",IF(J99=TODAY(),"ENTREGA HOJE","")))</f>
        <v/>
      </c>
    </row>
    <row r="100">
      <c r="A100" s="18" t="n"/>
      <c r="B100" s="19" t="n"/>
      <c r="C100" s="20" t="n"/>
      <c r="D100" s="20" t="n"/>
      <c r="E100" s="20" t="n"/>
      <c r="F100" s="18" t="n"/>
      <c r="G100" s="21">
        <f>IF(E100="","",IFERROR(VLOOKUP(E100,'Catálogo'!$A$5:$B$504,2,FALSE),0))</f>
        <v/>
      </c>
      <c r="H100" s="21" t="n"/>
      <c r="I100" s="21">
        <f>IF(E100="","",MAX(F100*G100-N(H100),0))</f>
        <v/>
      </c>
      <c r="J100" s="19" t="n"/>
      <c r="K100" s="20" t="n"/>
      <c r="L100" s="20" t="n"/>
      <c r="M100" s="20" t="n"/>
      <c r="N100" s="20">
        <f>IF(OR(E100="",M100="Entregue",M100="Cancelado",J100=""),"",IF(J100&lt;TODAY(),"ATRASADO",IF(J100=TODAY(),"ENTREGA HOJE","")))</f>
        <v/>
      </c>
    </row>
    <row r="101">
      <c r="A101" s="18" t="n"/>
      <c r="B101" s="19" t="n"/>
      <c r="C101" s="20" t="n"/>
      <c r="D101" s="20" t="n"/>
      <c r="E101" s="20" t="n"/>
      <c r="F101" s="18" t="n"/>
      <c r="G101" s="21">
        <f>IF(E101="","",IFERROR(VLOOKUP(E101,'Catálogo'!$A$5:$B$504,2,FALSE),0))</f>
        <v/>
      </c>
      <c r="H101" s="21" t="n"/>
      <c r="I101" s="21">
        <f>IF(E101="","",MAX(F101*G101-N(H101),0))</f>
        <v/>
      </c>
      <c r="J101" s="19" t="n"/>
      <c r="K101" s="20" t="n"/>
      <c r="L101" s="20" t="n"/>
      <c r="M101" s="20" t="n"/>
      <c r="N101" s="20">
        <f>IF(OR(E101="",M101="Entregue",M101="Cancelado",J101=""),"",IF(J101&lt;TODAY(),"ATRASADO",IF(J101=TODAY(),"ENTREGA HOJE","")))</f>
        <v/>
      </c>
    </row>
    <row r="102">
      <c r="A102" s="18" t="n"/>
      <c r="B102" s="19" t="n"/>
      <c r="C102" s="20" t="n"/>
      <c r="D102" s="20" t="n"/>
      <c r="E102" s="20" t="n"/>
      <c r="F102" s="18" t="n"/>
      <c r="G102" s="21">
        <f>IF(E102="","",IFERROR(VLOOKUP(E102,'Catálogo'!$A$5:$B$504,2,FALSE),0))</f>
        <v/>
      </c>
      <c r="H102" s="21" t="n"/>
      <c r="I102" s="21">
        <f>IF(E102="","",MAX(F102*G102-N(H102),0))</f>
        <v/>
      </c>
      <c r="J102" s="19" t="n"/>
      <c r="K102" s="20" t="n"/>
      <c r="L102" s="20" t="n"/>
      <c r="M102" s="20" t="n"/>
      <c r="N102" s="20">
        <f>IF(OR(E102="",M102="Entregue",M102="Cancelado",J102=""),"",IF(J102&lt;TODAY(),"ATRASADO",IF(J102=TODAY(),"ENTREGA HOJE","")))</f>
        <v/>
      </c>
    </row>
    <row r="103">
      <c r="A103" s="18" t="n"/>
      <c r="B103" s="19" t="n"/>
      <c r="C103" s="20" t="n"/>
      <c r="D103" s="20" t="n"/>
      <c r="E103" s="20" t="n"/>
      <c r="F103" s="18" t="n"/>
      <c r="G103" s="21">
        <f>IF(E103="","",IFERROR(VLOOKUP(E103,'Catálogo'!$A$5:$B$504,2,FALSE),0))</f>
        <v/>
      </c>
      <c r="H103" s="21" t="n"/>
      <c r="I103" s="21">
        <f>IF(E103="","",MAX(F103*G103-N(H103),0))</f>
        <v/>
      </c>
      <c r="J103" s="19" t="n"/>
      <c r="K103" s="20" t="n"/>
      <c r="L103" s="20" t="n"/>
      <c r="M103" s="20" t="n"/>
      <c r="N103" s="20">
        <f>IF(OR(E103="",M103="Entregue",M103="Cancelado",J103=""),"",IF(J103&lt;TODAY(),"ATRASADO",IF(J103=TODAY(),"ENTREGA HOJE","")))</f>
        <v/>
      </c>
    </row>
    <row r="104">
      <c r="A104" s="18" t="n"/>
      <c r="B104" s="19" t="n"/>
      <c r="C104" s="20" t="n"/>
      <c r="D104" s="20" t="n"/>
      <c r="E104" s="20" t="n"/>
      <c r="F104" s="18" t="n"/>
      <c r="G104" s="21">
        <f>IF(E104="","",IFERROR(VLOOKUP(E104,'Catálogo'!$A$5:$B$504,2,FALSE),0))</f>
        <v/>
      </c>
      <c r="H104" s="21" t="n"/>
      <c r="I104" s="21">
        <f>IF(E104="","",MAX(F104*G104-N(H104),0))</f>
        <v/>
      </c>
      <c r="J104" s="19" t="n"/>
      <c r="K104" s="20" t="n"/>
      <c r="L104" s="20" t="n"/>
      <c r="M104" s="20" t="n"/>
      <c r="N104" s="20">
        <f>IF(OR(E104="",M104="Entregue",M104="Cancelado",J104=""),"",IF(J104&lt;TODAY(),"ATRASADO",IF(J104=TODAY(),"ENTREGA HOJE","")))</f>
        <v/>
      </c>
    </row>
    <row r="105">
      <c r="A105" s="18" t="n"/>
      <c r="B105" s="19" t="n"/>
      <c r="C105" s="20" t="n"/>
      <c r="D105" s="20" t="n"/>
      <c r="E105" s="20" t="n"/>
      <c r="F105" s="18" t="n"/>
      <c r="G105" s="21">
        <f>IF(E105="","",IFERROR(VLOOKUP(E105,'Catálogo'!$A$5:$B$504,2,FALSE),0))</f>
        <v/>
      </c>
      <c r="H105" s="21" t="n"/>
      <c r="I105" s="21">
        <f>IF(E105="","",MAX(F105*G105-N(H105),0))</f>
        <v/>
      </c>
      <c r="J105" s="19" t="n"/>
      <c r="K105" s="20" t="n"/>
      <c r="L105" s="20" t="n"/>
      <c r="M105" s="20" t="n"/>
      <c r="N105" s="20">
        <f>IF(OR(E105="",M105="Entregue",M105="Cancelado",J105=""),"",IF(J105&lt;TODAY(),"ATRASADO",IF(J105=TODAY(),"ENTREGA HOJE","")))</f>
        <v/>
      </c>
    </row>
    <row r="106">
      <c r="A106" s="18" t="n"/>
      <c r="B106" s="19" t="n"/>
      <c r="C106" s="20" t="n"/>
      <c r="D106" s="20" t="n"/>
      <c r="E106" s="20" t="n"/>
      <c r="F106" s="18" t="n"/>
      <c r="G106" s="21">
        <f>IF(E106="","",IFERROR(VLOOKUP(E106,'Catálogo'!$A$5:$B$504,2,FALSE),0))</f>
        <v/>
      </c>
      <c r="H106" s="21" t="n"/>
      <c r="I106" s="21">
        <f>IF(E106="","",MAX(F106*G106-N(H106),0))</f>
        <v/>
      </c>
      <c r="J106" s="19" t="n"/>
      <c r="K106" s="20" t="n"/>
      <c r="L106" s="20" t="n"/>
      <c r="M106" s="20" t="n"/>
      <c r="N106" s="20">
        <f>IF(OR(E106="",M106="Entregue",M106="Cancelado",J106=""),"",IF(J106&lt;TODAY(),"ATRASADO",IF(J106=TODAY(),"ENTREGA HOJE","")))</f>
        <v/>
      </c>
    </row>
    <row r="107">
      <c r="A107" s="18" t="n"/>
      <c r="B107" s="19" t="n"/>
      <c r="C107" s="20" t="n"/>
      <c r="D107" s="20" t="n"/>
      <c r="E107" s="20" t="n"/>
      <c r="F107" s="18" t="n"/>
      <c r="G107" s="21">
        <f>IF(E107="","",IFERROR(VLOOKUP(E107,'Catálogo'!$A$5:$B$504,2,FALSE),0))</f>
        <v/>
      </c>
      <c r="H107" s="21" t="n"/>
      <c r="I107" s="21">
        <f>IF(E107="","",MAX(F107*G107-N(H107),0))</f>
        <v/>
      </c>
      <c r="J107" s="19" t="n"/>
      <c r="K107" s="20" t="n"/>
      <c r="L107" s="20" t="n"/>
      <c r="M107" s="20" t="n"/>
      <c r="N107" s="20">
        <f>IF(OR(E107="",M107="Entregue",M107="Cancelado",J107=""),"",IF(J107&lt;TODAY(),"ATRASADO",IF(J107=TODAY(),"ENTREGA HOJE","")))</f>
        <v/>
      </c>
    </row>
    <row r="108">
      <c r="A108" s="18" t="n"/>
      <c r="B108" s="19" t="n"/>
      <c r="C108" s="20" t="n"/>
      <c r="D108" s="20" t="n"/>
      <c r="E108" s="20" t="n"/>
      <c r="F108" s="18" t="n"/>
      <c r="G108" s="21">
        <f>IF(E108="","",IFERROR(VLOOKUP(E108,'Catálogo'!$A$5:$B$504,2,FALSE),0))</f>
        <v/>
      </c>
      <c r="H108" s="21" t="n"/>
      <c r="I108" s="21">
        <f>IF(E108="","",MAX(F108*G108-N(H108),0))</f>
        <v/>
      </c>
      <c r="J108" s="19" t="n"/>
      <c r="K108" s="20" t="n"/>
      <c r="L108" s="20" t="n"/>
      <c r="M108" s="20" t="n"/>
      <c r="N108" s="20">
        <f>IF(OR(E108="",M108="Entregue",M108="Cancelado",J108=""),"",IF(J108&lt;TODAY(),"ATRASADO",IF(J108=TODAY(),"ENTREGA HOJE","")))</f>
        <v/>
      </c>
    </row>
    <row r="109">
      <c r="A109" s="18" t="n"/>
      <c r="B109" s="19" t="n"/>
      <c r="C109" s="20" t="n"/>
      <c r="D109" s="20" t="n"/>
      <c r="E109" s="20" t="n"/>
      <c r="F109" s="18" t="n"/>
      <c r="G109" s="21">
        <f>IF(E109="","",IFERROR(VLOOKUP(E109,'Catálogo'!$A$5:$B$504,2,FALSE),0))</f>
        <v/>
      </c>
      <c r="H109" s="21" t="n"/>
      <c r="I109" s="21">
        <f>IF(E109="","",MAX(F109*G109-N(H109),0))</f>
        <v/>
      </c>
      <c r="J109" s="19" t="n"/>
      <c r="K109" s="20" t="n"/>
      <c r="L109" s="20" t="n"/>
      <c r="M109" s="20" t="n"/>
      <c r="N109" s="20">
        <f>IF(OR(E109="",M109="Entregue",M109="Cancelado",J109=""),"",IF(J109&lt;TODAY(),"ATRASADO",IF(J109=TODAY(),"ENTREGA HOJE","")))</f>
        <v/>
      </c>
    </row>
    <row r="110">
      <c r="A110" s="18" t="n"/>
      <c r="B110" s="19" t="n"/>
      <c r="C110" s="20" t="n"/>
      <c r="D110" s="20" t="n"/>
      <c r="E110" s="20" t="n"/>
      <c r="F110" s="18" t="n"/>
      <c r="G110" s="21">
        <f>IF(E110="","",IFERROR(VLOOKUP(E110,'Catálogo'!$A$5:$B$504,2,FALSE),0))</f>
        <v/>
      </c>
      <c r="H110" s="21" t="n"/>
      <c r="I110" s="21">
        <f>IF(E110="","",MAX(F110*G110-N(H110),0))</f>
        <v/>
      </c>
      <c r="J110" s="19" t="n"/>
      <c r="K110" s="20" t="n"/>
      <c r="L110" s="20" t="n"/>
      <c r="M110" s="20" t="n"/>
      <c r="N110" s="20">
        <f>IF(OR(E110="",M110="Entregue",M110="Cancelado",J110=""),"",IF(J110&lt;TODAY(),"ATRASADO",IF(J110=TODAY(),"ENTREGA HOJE","")))</f>
        <v/>
      </c>
    </row>
    <row r="111">
      <c r="A111" s="18" t="n"/>
      <c r="B111" s="19" t="n"/>
      <c r="C111" s="20" t="n"/>
      <c r="D111" s="20" t="n"/>
      <c r="E111" s="20" t="n"/>
      <c r="F111" s="18" t="n"/>
      <c r="G111" s="21">
        <f>IF(E111="","",IFERROR(VLOOKUP(E111,'Catálogo'!$A$5:$B$504,2,FALSE),0))</f>
        <v/>
      </c>
      <c r="H111" s="21" t="n"/>
      <c r="I111" s="21">
        <f>IF(E111="","",MAX(F111*G111-N(H111),0))</f>
        <v/>
      </c>
      <c r="J111" s="19" t="n"/>
      <c r="K111" s="20" t="n"/>
      <c r="L111" s="20" t="n"/>
      <c r="M111" s="20" t="n"/>
      <c r="N111" s="20">
        <f>IF(OR(E111="",M111="Entregue",M111="Cancelado",J111=""),"",IF(J111&lt;TODAY(),"ATRASADO",IF(J111=TODAY(),"ENTREGA HOJE","")))</f>
        <v/>
      </c>
    </row>
    <row r="112">
      <c r="A112" s="18" t="n"/>
      <c r="B112" s="19" t="n"/>
      <c r="C112" s="20" t="n"/>
      <c r="D112" s="20" t="n"/>
      <c r="E112" s="20" t="n"/>
      <c r="F112" s="18" t="n"/>
      <c r="G112" s="21">
        <f>IF(E112="","",IFERROR(VLOOKUP(E112,'Catálogo'!$A$5:$B$504,2,FALSE),0))</f>
        <v/>
      </c>
      <c r="H112" s="21" t="n"/>
      <c r="I112" s="21">
        <f>IF(E112="","",MAX(F112*G112-N(H112),0))</f>
        <v/>
      </c>
      <c r="J112" s="19" t="n"/>
      <c r="K112" s="20" t="n"/>
      <c r="L112" s="20" t="n"/>
      <c r="M112" s="20" t="n"/>
      <c r="N112" s="20">
        <f>IF(OR(E112="",M112="Entregue",M112="Cancelado",J112=""),"",IF(J112&lt;TODAY(),"ATRASADO",IF(J112=TODAY(),"ENTREGA HOJE","")))</f>
        <v/>
      </c>
    </row>
    <row r="113">
      <c r="A113" s="18" t="n"/>
      <c r="B113" s="19" t="n"/>
      <c r="C113" s="20" t="n"/>
      <c r="D113" s="20" t="n"/>
      <c r="E113" s="20" t="n"/>
      <c r="F113" s="18" t="n"/>
      <c r="G113" s="21">
        <f>IF(E113="","",IFERROR(VLOOKUP(E113,'Catálogo'!$A$5:$B$504,2,FALSE),0))</f>
        <v/>
      </c>
      <c r="H113" s="21" t="n"/>
      <c r="I113" s="21">
        <f>IF(E113="","",MAX(F113*G113-N(H113),0))</f>
        <v/>
      </c>
      <c r="J113" s="19" t="n"/>
      <c r="K113" s="20" t="n"/>
      <c r="L113" s="20" t="n"/>
      <c r="M113" s="20" t="n"/>
      <c r="N113" s="20">
        <f>IF(OR(E113="",M113="Entregue",M113="Cancelado",J113=""),"",IF(J113&lt;TODAY(),"ATRASADO",IF(J113=TODAY(),"ENTREGA HOJE","")))</f>
        <v/>
      </c>
    </row>
    <row r="114">
      <c r="A114" s="18" t="n"/>
      <c r="B114" s="19" t="n"/>
      <c r="C114" s="20" t="n"/>
      <c r="D114" s="20" t="n"/>
      <c r="E114" s="20" t="n"/>
      <c r="F114" s="18" t="n"/>
      <c r="G114" s="21">
        <f>IF(E114="","",IFERROR(VLOOKUP(E114,'Catálogo'!$A$5:$B$504,2,FALSE),0))</f>
        <v/>
      </c>
      <c r="H114" s="21" t="n"/>
      <c r="I114" s="21">
        <f>IF(E114="","",MAX(F114*G114-N(H114),0))</f>
        <v/>
      </c>
      <c r="J114" s="19" t="n"/>
      <c r="K114" s="20" t="n"/>
      <c r="L114" s="20" t="n"/>
      <c r="M114" s="20" t="n"/>
      <c r="N114" s="20">
        <f>IF(OR(E114="",M114="Entregue",M114="Cancelado",J114=""),"",IF(J114&lt;TODAY(),"ATRASADO",IF(J114=TODAY(),"ENTREGA HOJE","")))</f>
        <v/>
      </c>
    </row>
    <row r="115">
      <c r="A115" s="18" t="n"/>
      <c r="B115" s="19" t="n"/>
      <c r="C115" s="20" t="n"/>
      <c r="D115" s="20" t="n"/>
      <c r="E115" s="20" t="n"/>
      <c r="F115" s="18" t="n"/>
      <c r="G115" s="21">
        <f>IF(E115="","",IFERROR(VLOOKUP(E115,'Catálogo'!$A$5:$B$504,2,FALSE),0))</f>
        <v/>
      </c>
      <c r="H115" s="21" t="n"/>
      <c r="I115" s="21">
        <f>IF(E115="","",MAX(F115*G115-N(H115),0))</f>
        <v/>
      </c>
      <c r="J115" s="19" t="n"/>
      <c r="K115" s="20" t="n"/>
      <c r="L115" s="20" t="n"/>
      <c r="M115" s="20" t="n"/>
      <c r="N115" s="20">
        <f>IF(OR(E115="",M115="Entregue",M115="Cancelado",J115=""),"",IF(J115&lt;TODAY(),"ATRASADO",IF(J115=TODAY(),"ENTREGA HOJE","")))</f>
        <v/>
      </c>
    </row>
    <row r="116">
      <c r="A116" s="18" t="n"/>
      <c r="B116" s="19" t="n"/>
      <c r="C116" s="20" t="n"/>
      <c r="D116" s="20" t="n"/>
      <c r="E116" s="20" t="n"/>
      <c r="F116" s="18" t="n"/>
      <c r="G116" s="21">
        <f>IF(E116="","",IFERROR(VLOOKUP(E116,'Catálogo'!$A$5:$B$504,2,FALSE),0))</f>
        <v/>
      </c>
      <c r="H116" s="21" t="n"/>
      <c r="I116" s="21">
        <f>IF(E116="","",MAX(F116*G116-N(H116),0))</f>
        <v/>
      </c>
      <c r="J116" s="19" t="n"/>
      <c r="K116" s="20" t="n"/>
      <c r="L116" s="20" t="n"/>
      <c r="M116" s="20" t="n"/>
      <c r="N116" s="20">
        <f>IF(OR(E116="",M116="Entregue",M116="Cancelado",J116=""),"",IF(J116&lt;TODAY(),"ATRASADO",IF(J116=TODAY(),"ENTREGA HOJE","")))</f>
        <v/>
      </c>
    </row>
    <row r="117">
      <c r="A117" s="18" t="n"/>
      <c r="B117" s="19" t="n"/>
      <c r="C117" s="20" t="n"/>
      <c r="D117" s="20" t="n"/>
      <c r="E117" s="20" t="n"/>
      <c r="F117" s="18" t="n"/>
      <c r="G117" s="21">
        <f>IF(E117="","",IFERROR(VLOOKUP(E117,'Catálogo'!$A$5:$B$504,2,FALSE),0))</f>
        <v/>
      </c>
      <c r="H117" s="21" t="n"/>
      <c r="I117" s="21">
        <f>IF(E117="","",MAX(F117*G117-N(H117),0))</f>
        <v/>
      </c>
      <c r="J117" s="19" t="n"/>
      <c r="K117" s="20" t="n"/>
      <c r="L117" s="20" t="n"/>
      <c r="M117" s="20" t="n"/>
      <c r="N117" s="20">
        <f>IF(OR(E117="",M117="Entregue",M117="Cancelado",J117=""),"",IF(J117&lt;TODAY(),"ATRASADO",IF(J117=TODAY(),"ENTREGA HOJE","")))</f>
        <v/>
      </c>
    </row>
    <row r="118">
      <c r="A118" s="18" t="n"/>
      <c r="B118" s="19" t="n"/>
      <c r="C118" s="20" t="n"/>
      <c r="D118" s="20" t="n"/>
      <c r="E118" s="20" t="n"/>
      <c r="F118" s="18" t="n"/>
      <c r="G118" s="21">
        <f>IF(E118="","",IFERROR(VLOOKUP(E118,'Catálogo'!$A$5:$B$504,2,FALSE),0))</f>
        <v/>
      </c>
      <c r="H118" s="21" t="n"/>
      <c r="I118" s="21">
        <f>IF(E118="","",MAX(F118*G118-N(H118),0))</f>
        <v/>
      </c>
      <c r="J118" s="19" t="n"/>
      <c r="K118" s="20" t="n"/>
      <c r="L118" s="20" t="n"/>
      <c r="M118" s="20" t="n"/>
      <c r="N118" s="20">
        <f>IF(OR(E118="",M118="Entregue",M118="Cancelado",J118=""),"",IF(J118&lt;TODAY(),"ATRASADO",IF(J118=TODAY(),"ENTREGA HOJE","")))</f>
        <v/>
      </c>
    </row>
    <row r="119">
      <c r="A119" s="18" t="n"/>
      <c r="B119" s="19" t="n"/>
      <c r="C119" s="20" t="n"/>
      <c r="D119" s="20" t="n"/>
      <c r="E119" s="20" t="n"/>
      <c r="F119" s="18" t="n"/>
      <c r="G119" s="21">
        <f>IF(E119="","",IFERROR(VLOOKUP(E119,'Catálogo'!$A$5:$B$504,2,FALSE),0))</f>
        <v/>
      </c>
      <c r="H119" s="21" t="n"/>
      <c r="I119" s="21">
        <f>IF(E119="","",MAX(F119*G119-N(H119),0))</f>
        <v/>
      </c>
      <c r="J119" s="19" t="n"/>
      <c r="K119" s="20" t="n"/>
      <c r="L119" s="20" t="n"/>
      <c r="M119" s="20" t="n"/>
      <c r="N119" s="20">
        <f>IF(OR(E119="",M119="Entregue",M119="Cancelado",J119=""),"",IF(J119&lt;TODAY(),"ATRASADO",IF(J119=TODAY(),"ENTREGA HOJE","")))</f>
        <v/>
      </c>
    </row>
    <row r="120">
      <c r="A120" s="18" t="n"/>
      <c r="B120" s="19" t="n"/>
      <c r="C120" s="20" t="n"/>
      <c r="D120" s="20" t="n"/>
      <c r="E120" s="20" t="n"/>
      <c r="F120" s="18" t="n"/>
      <c r="G120" s="21">
        <f>IF(E120="","",IFERROR(VLOOKUP(E120,'Catálogo'!$A$5:$B$504,2,FALSE),0))</f>
        <v/>
      </c>
      <c r="H120" s="21" t="n"/>
      <c r="I120" s="21">
        <f>IF(E120="","",MAX(F120*G120-N(H120),0))</f>
        <v/>
      </c>
      <c r="J120" s="19" t="n"/>
      <c r="K120" s="20" t="n"/>
      <c r="L120" s="20" t="n"/>
      <c r="M120" s="20" t="n"/>
      <c r="N120" s="20">
        <f>IF(OR(E120="",M120="Entregue",M120="Cancelado",J120=""),"",IF(J120&lt;TODAY(),"ATRASADO",IF(J120=TODAY(),"ENTREGA HOJE","")))</f>
        <v/>
      </c>
    </row>
    <row r="121">
      <c r="A121" s="18" t="n"/>
      <c r="B121" s="19" t="n"/>
      <c r="C121" s="20" t="n"/>
      <c r="D121" s="20" t="n"/>
      <c r="E121" s="20" t="n"/>
      <c r="F121" s="18" t="n"/>
      <c r="G121" s="21">
        <f>IF(E121="","",IFERROR(VLOOKUP(E121,'Catálogo'!$A$5:$B$504,2,FALSE),0))</f>
        <v/>
      </c>
      <c r="H121" s="21" t="n"/>
      <c r="I121" s="21">
        <f>IF(E121="","",MAX(F121*G121-N(H121),0))</f>
        <v/>
      </c>
      <c r="J121" s="19" t="n"/>
      <c r="K121" s="20" t="n"/>
      <c r="L121" s="20" t="n"/>
      <c r="M121" s="20" t="n"/>
      <c r="N121" s="20">
        <f>IF(OR(E121="",M121="Entregue",M121="Cancelado",J121=""),"",IF(J121&lt;TODAY(),"ATRASADO",IF(J121=TODAY(),"ENTREGA HOJE","")))</f>
        <v/>
      </c>
    </row>
    <row r="122">
      <c r="A122" s="18" t="n"/>
      <c r="B122" s="19" t="n"/>
      <c r="C122" s="20" t="n"/>
      <c r="D122" s="20" t="n"/>
      <c r="E122" s="20" t="n"/>
      <c r="F122" s="18" t="n"/>
      <c r="G122" s="21">
        <f>IF(E122="","",IFERROR(VLOOKUP(E122,'Catálogo'!$A$5:$B$504,2,FALSE),0))</f>
        <v/>
      </c>
      <c r="H122" s="21" t="n"/>
      <c r="I122" s="21">
        <f>IF(E122="","",MAX(F122*G122-N(H122),0))</f>
        <v/>
      </c>
      <c r="J122" s="19" t="n"/>
      <c r="K122" s="20" t="n"/>
      <c r="L122" s="20" t="n"/>
      <c r="M122" s="20" t="n"/>
      <c r="N122" s="20">
        <f>IF(OR(E122="",M122="Entregue",M122="Cancelado",J122=""),"",IF(J122&lt;TODAY(),"ATRASADO",IF(J122=TODAY(),"ENTREGA HOJE","")))</f>
        <v/>
      </c>
    </row>
    <row r="123">
      <c r="A123" s="18" t="n"/>
      <c r="B123" s="19" t="n"/>
      <c r="C123" s="20" t="n"/>
      <c r="D123" s="20" t="n"/>
      <c r="E123" s="20" t="n"/>
      <c r="F123" s="18" t="n"/>
      <c r="G123" s="21">
        <f>IF(E123="","",IFERROR(VLOOKUP(E123,'Catálogo'!$A$5:$B$504,2,FALSE),0))</f>
        <v/>
      </c>
      <c r="H123" s="21" t="n"/>
      <c r="I123" s="21">
        <f>IF(E123="","",MAX(F123*G123-N(H123),0))</f>
        <v/>
      </c>
      <c r="J123" s="19" t="n"/>
      <c r="K123" s="20" t="n"/>
      <c r="L123" s="20" t="n"/>
      <c r="M123" s="20" t="n"/>
      <c r="N123" s="20">
        <f>IF(OR(E123="",M123="Entregue",M123="Cancelado",J123=""),"",IF(J123&lt;TODAY(),"ATRASADO",IF(J123=TODAY(),"ENTREGA HOJE","")))</f>
        <v/>
      </c>
    </row>
    <row r="124">
      <c r="A124" s="18" t="n"/>
      <c r="B124" s="19" t="n"/>
      <c r="C124" s="20" t="n"/>
      <c r="D124" s="20" t="n"/>
      <c r="E124" s="20" t="n"/>
      <c r="F124" s="18" t="n"/>
      <c r="G124" s="21">
        <f>IF(E124="","",IFERROR(VLOOKUP(E124,'Catálogo'!$A$5:$B$504,2,FALSE),0))</f>
        <v/>
      </c>
      <c r="H124" s="21" t="n"/>
      <c r="I124" s="21">
        <f>IF(E124="","",MAX(F124*G124-N(H124),0))</f>
        <v/>
      </c>
      <c r="J124" s="19" t="n"/>
      <c r="K124" s="20" t="n"/>
      <c r="L124" s="20" t="n"/>
      <c r="M124" s="20" t="n"/>
      <c r="N124" s="20">
        <f>IF(OR(E124="",M124="Entregue",M124="Cancelado",J124=""),"",IF(J124&lt;TODAY(),"ATRASADO",IF(J124=TODAY(),"ENTREGA HOJE","")))</f>
        <v/>
      </c>
    </row>
    <row r="125">
      <c r="A125" s="18" t="n"/>
      <c r="B125" s="19" t="n"/>
      <c r="C125" s="20" t="n"/>
      <c r="D125" s="20" t="n"/>
      <c r="E125" s="20" t="n"/>
      <c r="F125" s="18" t="n"/>
      <c r="G125" s="21">
        <f>IF(E125="","",IFERROR(VLOOKUP(E125,'Catálogo'!$A$5:$B$504,2,FALSE),0))</f>
        <v/>
      </c>
      <c r="H125" s="21" t="n"/>
      <c r="I125" s="21">
        <f>IF(E125="","",MAX(F125*G125-N(H125),0))</f>
        <v/>
      </c>
      <c r="J125" s="19" t="n"/>
      <c r="K125" s="20" t="n"/>
      <c r="L125" s="20" t="n"/>
      <c r="M125" s="20" t="n"/>
      <c r="N125" s="20">
        <f>IF(OR(E125="",M125="Entregue",M125="Cancelado",J125=""),"",IF(J125&lt;TODAY(),"ATRASADO",IF(J125=TODAY(),"ENTREGA HOJE","")))</f>
        <v/>
      </c>
    </row>
    <row r="126">
      <c r="A126" s="18" t="n"/>
      <c r="B126" s="19" t="n"/>
      <c r="C126" s="20" t="n"/>
      <c r="D126" s="20" t="n"/>
      <c r="E126" s="20" t="n"/>
      <c r="F126" s="18" t="n"/>
      <c r="G126" s="21">
        <f>IF(E126="","",IFERROR(VLOOKUP(E126,'Catálogo'!$A$5:$B$504,2,FALSE),0))</f>
        <v/>
      </c>
      <c r="H126" s="21" t="n"/>
      <c r="I126" s="21">
        <f>IF(E126="","",MAX(F126*G126-N(H126),0))</f>
        <v/>
      </c>
      <c r="J126" s="19" t="n"/>
      <c r="K126" s="20" t="n"/>
      <c r="L126" s="20" t="n"/>
      <c r="M126" s="20" t="n"/>
      <c r="N126" s="20">
        <f>IF(OR(E126="",M126="Entregue",M126="Cancelado",J126=""),"",IF(J126&lt;TODAY(),"ATRASADO",IF(J126=TODAY(),"ENTREGA HOJE","")))</f>
        <v/>
      </c>
    </row>
    <row r="127">
      <c r="A127" s="18" t="n"/>
      <c r="B127" s="19" t="n"/>
      <c r="C127" s="20" t="n"/>
      <c r="D127" s="20" t="n"/>
      <c r="E127" s="20" t="n"/>
      <c r="F127" s="18" t="n"/>
      <c r="G127" s="21">
        <f>IF(E127="","",IFERROR(VLOOKUP(E127,'Catálogo'!$A$5:$B$504,2,FALSE),0))</f>
        <v/>
      </c>
      <c r="H127" s="21" t="n"/>
      <c r="I127" s="21">
        <f>IF(E127="","",MAX(F127*G127-N(H127),0))</f>
        <v/>
      </c>
      <c r="J127" s="19" t="n"/>
      <c r="K127" s="20" t="n"/>
      <c r="L127" s="20" t="n"/>
      <c r="M127" s="20" t="n"/>
      <c r="N127" s="20">
        <f>IF(OR(E127="",M127="Entregue",M127="Cancelado",J127=""),"",IF(J127&lt;TODAY(),"ATRASADO",IF(J127=TODAY(),"ENTREGA HOJE","")))</f>
        <v/>
      </c>
    </row>
    <row r="128">
      <c r="A128" s="18" t="n"/>
      <c r="B128" s="19" t="n"/>
      <c r="C128" s="20" t="n"/>
      <c r="D128" s="20" t="n"/>
      <c r="E128" s="20" t="n"/>
      <c r="F128" s="18" t="n"/>
      <c r="G128" s="21">
        <f>IF(E128="","",IFERROR(VLOOKUP(E128,'Catálogo'!$A$5:$B$504,2,FALSE),0))</f>
        <v/>
      </c>
      <c r="H128" s="21" t="n"/>
      <c r="I128" s="21">
        <f>IF(E128="","",MAX(F128*G128-N(H128),0))</f>
        <v/>
      </c>
      <c r="J128" s="19" t="n"/>
      <c r="K128" s="20" t="n"/>
      <c r="L128" s="20" t="n"/>
      <c r="M128" s="20" t="n"/>
      <c r="N128" s="20">
        <f>IF(OR(E128="",M128="Entregue",M128="Cancelado",J128=""),"",IF(J128&lt;TODAY(),"ATRASADO",IF(J128=TODAY(),"ENTREGA HOJE","")))</f>
        <v/>
      </c>
    </row>
    <row r="129">
      <c r="A129" s="18" t="n"/>
      <c r="B129" s="19" t="n"/>
      <c r="C129" s="20" t="n"/>
      <c r="D129" s="20" t="n"/>
      <c r="E129" s="20" t="n"/>
      <c r="F129" s="18" t="n"/>
      <c r="G129" s="21">
        <f>IF(E129="","",IFERROR(VLOOKUP(E129,'Catálogo'!$A$5:$B$504,2,FALSE),0))</f>
        <v/>
      </c>
      <c r="H129" s="21" t="n"/>
      <c r="I129" s="21">
        <f>IF(E129="","",MAX(F129*G129-N(H129),0))</f>
        <v/>
      </c>
      <c r="J129" s="19" t="n"/>
      <c r="K129" s="20" t="n"/>
      <c r="L129" s="20" t="n"/>
      <c r="M129" s="20" t="n"/>
      <c r="N129" s="20">
        <f>IF(OR(E129="",M129="Entregue",M129="Cancelado",J129=""),"",IF(J129&lt;TODAY(),"ATRASADO",IF(J129=TODAY(),"ENTREGA HOJE","")))</f>
        <v/>
      </c>
    </row>
    <row r="130">
      <c r="A130" s="18" t="n"/>
      <c r="B130" s="19" t="n"/>
      <c r="C130" s="20" t="n"/>
      <c r="D130" s="20" t="n"/>
      <c r="E130" s="20" t="n"/>
      <c r="F130" s="18" t="n"/>
      <c r="G130" s="21">
        <f>IF(E130="","",IFERROR(VLOOKUP(E130,'Catálogo'!$A$5:$B$504,2,FALSE),0))</f>
        <v/>
      </c>
      <c r="H130" s="21" t="n"/>
      <c r="I130" s="21">
        <f>IF(E130="","",MAX(F130*G130-N(H130),0))</f>
        <v/>
      </c>
      <c r="J130" s="19" t="n"/>
      <c r="K130" s="20" t="n"/>
      <c r="L130" s="20" t="n"/>
      <c r="M130" s="20" t="n"/>
      <c r="N130" s="20">
        <f>IF(OR(E130="",M130="Entregue",M130="Cancelado",J130=""),"",IF(J130&lt;TODAY(),"ATRASADO",IF(J130=TODAY(),"ENTREGA HOJE","")))</f>
        <v/>
      </c>
    </row>
    <row r="131">
      <c r="A131" s="18" t="n"/>
      <c r="B131" s="19" t="n"/>
      <c r="C131" s="20" t="n"/>
      <c r="D131" s="20" t="n"/>
      <c r="E131" s="20" t="n"/>
      <c r="F131" s="18" t="n"/>
      <c r="G131" s="21">
        <f>IF(E131="","",IFERROR(VLOOKUP(E131,'Catálogo'!$A$5:$B$504,2,FALSE),0))</f>
        <v/>
      </c>
      <c r="H131" s="21" t="n"/>
      <c r="I131" s="21">
        <f>IF(E131="","",MAX(F131*G131-N(H131),0))</f>
        <v/>
      </c>
      <c r="J131" s="19" t="n"/>
      <c r="K131" s="20" t="n"/>
      <c r="L131" s="20" t="n"/>
      <c r="M131" s="20" t="n"/>
      <c r="N131" s="20">
        <f>IF(OR(E131="",M131="Entregue",M131="Cancelado",J131=""),"",IF(J131&lt;TODAY(),"ATRASADO",IF(J131=TODAY(),"ENTREGA HOJE","")))</f>
        <v/>
      </c>
    </row>
    <row r="132">
      <c r="A132" s="18" t="n"/>
      <c r="B132" s="19" t="n"/>
      <c r="C132" s="20" t="n"/>
      <c r="D132" s="20" t="n"/>
      <c r="E132" s="20" t="n"/>
      <c r="F132" s="18" t="n"/>
      <c r="G132" s="21">
        <f>IF(E132="","",IFERROR(VLOOKUP(E132,'Catálogo'!$A$5:$B$504,2,FALSE),0))</f>
        <v/>
      </c>
      <c r="H132" s="21" t="n"/>
      <c r="I132" s="21">
        <f>IF(E132="","",MAX(F132*G132-N(H132),0))</f>
        <v/>
      </c>
      <c r="J132" s="19" t="n"/>
      <c r="K132" s="20" t="n"/>
      <c r="L132" s="20" t="n"/>
      <c r="M132" s="20" t="n"/>
      <c r="N132" s="20">
        <f>IF(OR(E132="",M132="Entregue",M132="Cancelado",J132=""),"",IF(J132&lt;TODAY(),"ATRASADO",IF(J132=TODAY(),"ENTREGA HOJE","")))</f>
        <v/>
      </c>
    </row>
    <row r="133">
      <c r="A133" s="18" t="n"/>
      <c r="B133" s="19" t="n"/>
      <c r="C133" s="20" t="n"/>
      <c r="D133" s="20" t="n"/>
      <c r="E133" s="20" t="n"/>
      <c r="F133" s="18" t="n"/>
      <c r="G133" s="21">
        <f>IF(E133="","",IFERROR(VLOOKUP(E133,'Catálogo'!$A$5:$B$504,2,FALSE),0))</f>
        <v/>
      </c>
      <c r="H133" s="21" t="n"/>
      <c r="I133" s="21">
        <f>IF(E133="","",MAX(F133*G133-N(H133),0))</f>
        <v/>
      </c>
      <c r="J133" s="19" t="n"/>
      <c r="K133" s="20" t="n"/>
      <c r="L133" s="20" t="n"/>
      <c r="M133" s="20" t="n"/>
      <c r="N133" s="20">
        <f>IF(OR(E133="",M133="Entregue",M133="Cancelado",J133=""),"",IF(J133&lt;TODAY(),"ATRASADO",IF(J133=TODAY(),"ENTREGA HOJE","")))</f>
        <v/>
      </c>
    </row>
    <row r="134">
      <c r="A134" s="18" t="n"/>
      <c r="B134" s="19" t="n"/>
      <c r="C134" s="20" t="n"/>
      <c r="D134" s="20" t="n"/>
      <c r="E134" s="20" t="n"/>
      <c r="F134" s="18" t="n"/>
      <c r="G134" s="21">
        <f>IF(E134="","",IFERROR(VLOOKUP(E134,'Catálogo'!$A$5:$B$504,2,FALSE),0))</f>
        <v/>
      </c>
      <c r="H134" s="21" t="n"/>
      <c r="I134" s="21">
        <f>IF(E134="","",MAX(F134*G134-N(H134),0))</f>
        <v/>
      </c>
      <c r="J134" s="19" t="n"/>
      <c r="K134" s="20" t="n"/>
      <c r="L134" s="20" t="n"/>
      <c r="M134" s="20" t="n"/>
      <c r="N134" s="20">
        <f>IF(OR(E134="",M134="Entregue",M134="Cancelado",J134=""),"",IF(J134&lt;TODAY(),"ATRASADO",IF(J134=TODAY(),"ENTREGA HOJE","")))</f>
        <v/>
      </c>
    </row>
    <row r="135">
      <c r="A135" s="18" t="n"/>
      <c r="B135" s="19" t="n"/>
      <c r="C135" s="20" t="n"/>
      <c r="D135" s="20" t="n"/>
      <c r="E135" s="20" t="n"/>
      <c r="F135" s="18" t="n"/>
      <c r="G135" s="21">
        <f>IF(E135="","",IFERROR(VLOOKUP(E135,'Catálogo'!$A$5:$B$504,2,FALSE),0))</f>
        <v/>
      </c>
      <c r="H135" s="21" t="n"/>
      <c r="I135" s="21">
        <f>IF(E135="","",MAX(F135*G135-N(H135),0))</f>
        <v/>
      </c>
      <c r="J135" s="19" t="n"/>
      <c r="K135" s="20" t="n"/>
      <c r="L135" s="20" t="n"/>
      <c r="M135" s="20" t="n"/>
      <c r="N135" s="20">
        <f>IF(OR(E135="",M135="Entregue",M135="Cancelado",J135=""),"",IF(J135&lt;TODAY(),"ATRASADO",IF(J135=TODAY(),"ENTREGA HOJE","")))</f>
        <v/>
      </c>
    </row>
    <row r="136">
      <c r="A136" s="18" t="n"/>
      <c r="B136" s="19" t="n"/>
      <c r="C136" s="20" t="n"/>
      <c r="D136" s="20" t="n"/>
      <c r="E136" s="20" t="n"/>
      <c r="F136" s="18" t="n"/>
      <c r="G136" s="21">
        <f>IF(E136="","",IFERROR(VLOOKUP(E136,'Catálogo'!$A$5:$B$504,2,FALSE),0))</f>
        <v/>
      </c>
      <c r="H136" s="21" t="n"/>
      <c r="I136" s="21">
        <f>IF(E136="","",MAX(F136*G136-N(H136),0))</f>
        <v/>
      </c>
      <c r="J136" s="19" t="n"/>
      <c r="K136" s="20" t="n"/>
      <c r="L136" s="20" t="n"/>
      <c r="M136" s="20" t="n"/>
      <c r="N136" s="20">
        <f>IF(OR(E136="",M136="Entregue",M136="Cancelado",J136=""),"",IF(J136&lt;TODAY(),"ATRASADO",IF(J136=TODAY(),"ENTREGA HOJE","")))</f>
        <v/>
      </c>
    </row>
    <row r="137">
      <c r="A137" s="18" t="n"/>
      <c r="B137" s="19" t="n"/>
      <c r="C137" s="20" t="n"/>
      <c r="D137" s="20" t="n"/>
      <c r="E137" s="20" t="n"/>
      <c r="F137" s="18" t="n"/>
      <c r="G137" s="21">
        <f>IF(E137="","",IFERROR(VLOOKUP(E137,'Catálogo'!$A$5:$B$504,2,FALSE),0))</f>
        <v/>
      </c>
      <c r="H137" s="21" t="n"/>
      <c r="I137" s="21">
        <f>IF(E137="","",MAX(F137*G137-N(H137),0))</f>
        <v/>
      </c>
      <c r="J137" s="19" t="n"/>
      <c r="K137" s="20" t="n"/>
      <c r="L137" s="20" t="n"/>
      <c r="M137" s="20" t="n"/>
      <c r="N137" s="20">
        <f>IF(OR(E137="",M137="Entregue",M137="Cancelado",J137=""),"",IF(J137&lt;TODAY(),"ATRASADO",IF(J137=TODAY(),"ENTREGA HOJE","")))</f>
        <v/>
      </c>
    </row>
    <row r="138">
      <c r="A138" s="18" t="n"/>
      <c r="B138" s="19" t="n"/>
      <c r="C138" s="20" t="n"/>
      <c r="D138" s="20" t="n"/>
      <c r="E138" s="20" t="n"/>
      <c r="F138" s="18" t="n"/>
      <c r="G138" s="21">
        <f>IF(E138="","",IFERROR(VLOOKUP(E138,'Catálogo'!$A$5:$B$504,2,FALSE),0))</f>
        <v/>
      </c>
      <c r="H138" s="21" t="n"/>
      <c r="I138" s="21">
        <f>IF(E138="","",MAX(F138*G138-N(H138),0))</f>
        <v/>
      </c>
      <c r="J138" s="19" t="n"/>
      <c r="K138" s="20" t="n"/>
      <c r="L138" s="20" t="n"/>
      <c r="M138" s="20" t="n"/>
      <c r="N138" s="20">
        <f>IF(OR(E138="",M138="Entregue",M138="Cancelado",J138=""),"",IF(J138&lt;TODAY(),"ATRASADO",IF(J138=TODAY(),"ENTREGA HOJE","")))</f>
        <v/>
      </c>
    </row>
    <row r="139">
      <c r="A139" s="18" t="n"/>
      <c r="B139" s="19" t="n"/>
      <c r="C139" s="20" t="n"/>
      <c r="D139" s="20" t="n"/>
      <c r="E139" s="20" t="n"/>
      <c r="F139" s="18" t="n"/>
      <c r="G139" s="21">
        <f>IF(E139="","",IFERROR(VLOOKUP(E139,'Catálogo'!$A$5:$B$504,2,FALSE),0))</f>
        <v/>
      </c>
      <c r="H139" s="21" t="n"/>
      <c r="I139" s="21">
        <f>IF(E139="","",MAX(F139*G139-N(H139),0))</f>
        <v/>
      </c>
      <c r="J139" s="19" t="n"/>
      <c r="K139" s="20" t="n"/>
      <c r="L139" s="20" t="n"/>
      <c r="M139" s="20" t="n"/>
      <c r="N139" s="20">
        <f>IF(OR(E139="",M139="Entregue",M139="Cancelado",J139=""),"",IF(J139&lt;TODAY(),"ATRASADO",IF(J139=TODAY(),"ENTREGA HOJE","")))</f>
        <v/>
      </c>
    </row>
    <row r="140">
      <c r="A140" s="18" t="n"/>
      <c r="B140" s="19" t="n"/>
      <c r="C140" s="20" t="n"/>
      <c r="D140" s="20" t="n"/>
      <c r="E140" s="20" t="n"/>
      <c r="F140" s="18" t="n"/>
      <c r="G140" s="21">
        <f>IF(E140="","",IFERROR(VLOOKUP(E140,'Catálogo'!$A$5:$B$504,2,FALSE),0))</f>
        <v/>
      </c>
      <c r="H140" s="21" t="n"/>
      <c r="I140" s="21">
        <f>IF(E140="","",MAX(F140*G140-N(H140),0))</f>
        <v/>
      </c>
      <c r="J140" s="19" t="n"/>
      <c r="K140" s="20" t="n"/>
      <c r="L140" s="20" t="n"/>
      <c r="M140" s="20" t="n"/>
      <c r="N140" s="20">
        <f>IF(OR(E140="",M140="Entregue",M140="Cancelado",J140=""),"",IF(J140&lt;TODAY(),"ATRASADO",IF(J140=TODAY(),"ENTREGA HOJE","")))</f>
        <v/>
      </c>
    </row>
    <row r="141">
      <c r="A141" s="18" t="n"/>
      <c r="B141" s="19" t="n"/>
      <c r="C141" s="20" t="n"/>
      <c r="D141" s="20" t="n"/>
      <c r="E141" s="20" t="n"/>
      <c r="F141" s="18" t="n"/>
      <c r="G141" s="21">
        <f>IF(E141="","",IFERROR(VLOOKUP(E141,'Catálogo'!$A$5:$B$504,2,FALSE),0))</f>
        <v/>
      </c>
      <c r="H141" s="21" t="n"/>
      <c r="I141" s="21">
        <f>IF(E141="","",MAX(F141*G141-N(H141),0))</f>
        <v/>
      </c>
      <c r="J141" s="19" t="n"/>
      <c r="K141" s="20" t="n"/>
      <c r="L141" s="20" t="n"/>
      <c r="M141" s="20" t="n"/>
      <c r="N141" s="20">
        <f>IF(OR(E141="",M141="Entregue",M141="Cancelado",J141=""),"",IF(J141&lt;TODAY(),"ATRASADO",IF(J141=TODAY(),"ENTREGA HOJE","")))</f>
        <v/>
      </c>
    </row>
    <row r="142">
      <c r="A142" s="18" t="n"/>
      <c r="B142" s="19" t="n"/>
      <c r="C142" s="20" t="n"/>
      <c r="D142" s="20" t="n"/>
      <c r="E142" s="20" t="n"/>
      <c r="F142" s="18" t="n"/>
      <c r="G142" s="21">
        <f>IF(E142="","",IFERROR(VLOOKUP(E142,'Catálogo'!$A$5:$B$504,2,FALSE),0))</f>
        <v/>
      </c>
      <c r="H142" s="21" t="n"/>
      <c r="I142" s="21">
        <f>IF(E142="","",MAX(F142*G142-N(H142),0))</f>
        <v/>
      </c>
      <c r="J142" s="19" t="n"/>
      <c r="K142" s="20" t="n"/>
      <c r="L142" s="20" t="n"/>
      <c r="M142" s="20" t="n"/>
      <c r="N142" s="20">
        <f>IF(OR(E142="",M142="Entregue",M142="Cancelado",J142=""),"",IF(J142&lt;TODAY(),"ATRASADO",IF(J142=TODAY(),"ENTREGA HOJE","")))</f>
        <v/>
      </c>
    </row>
    <row r="143">
      <c r="A143" s="18" t="n"/>
      <c r="B143" s="19" t="n"/>
      <c r="C143" s="20" t="n"/>
      <c r="D143" s="20" t="n"/>
      <c r="E143" s="20" t="n"/>
      <c r="F143" s="18" t="n"/>
      <c r="G143" s="21">
        <f>IF(E143="","",IFERROR(VLOOKUP(E143,'Catálogo'!$A$5:$B$504,2,FALSE),0))</f>
        <v/>
      </c>
      <c r="H143" s="21" t="n"/>
      <c r="I143" s="21">
        <f>IF(E143="","",MAX(F143*G143-N(H143),0))</f>
        <v/>
      </c>
      <c r="J143" s="19" t="n"/>
      <c r="K143" s="20" t="n"/>
      <c r="L143" s="20" t="n"/>
      <c r="M143" s="20" t="n"/>
      <c r="N143" s="20">
        <f>IF(OR(E143="",M143="Entregue",M143="Cancelado",J143=""),"",IF(J143&lt;TODAY(),"ATRASADO",IF(J143=TODAY(),"ENTREGA HOJE","")))</f>
        <v/>
      </c>
    </row>
    <row r="144">
      <c r="A144" s="18" t="n"/>
      <c r="B144" s="19" t="n"/>
      <c r="C144" s="20" t="n"/>
      <c r="D144" s="20" t="n"/>
      <c r="E144" s="20" t="n"/>
      <c r="F144" s="18" t="n"/>
      <c r="G144" s="21">
        <f>IF(E144="","",IFERROR(VLOOKUP(E144,'Catálogo'!$A$5:$B$504,2,FALSE),0))</f>
        <v/>
      </c>
      <c r="H144" s="21" t="n"/>
      <c r="I144" s="21">
        <f>IF(E144="","",MAX(F144*G144-N(H144),0))</f>
        <v/>
      </c>
      <c r="J144" s="19" t="n"/>
      <c r="K144" s="20" t="n"/>
      <c r="L144" s="20" t="n"/>
      <c r="M144" s="20" t="n"/>
      <c r="N144" s="20">
        <f>IF(OR(E144="",M144="Entregue",M144="Cancelado",J144=""),"",IF(J144&lt;TODAY(),"ATRASADO",IF(J144=TODAY(),"ENTREGA HOJE","")))</f>
        <v/>
      </c>
    </row>
    <row r="145">
      <c r="A145" s="18" t="n"/>
      <c r="B145" s="19" t="n"/>
      <c r="C145" s="20" t="n"/>
      <c r="D145" s="20" t="n"/>
      <c r="E145" s="20" t="n"/>
      <c r="F145" s="18" t="n"/>
      <c r="G145" s="21">
        <f>IF(E145="","",IFERROR(VLOOKUP(E145,'Catálogo'!$A$5:$B$504,2,FALSE),0))</f>
        <v/>
      </c>
      <c r="H145" s="21" t="n"/>
      <c r="I145" s="21">
        <f>IF(E145="","",MAX(F145*G145-N(H145),0))</f>
        <v/>
      </c>
      <c r="J145" s="19" t="n"/>
      <c r="K145" s="20" t="n"/>
      <c r="L145" s="20" t="n"/>
      <c r="M145" s="20" t="n"/>
      <c r="N145" s="20">
        <f>IF(OR(E145="",M145="Entregue",M145="Cancelado",J145=""),"",IF(J145&lt;TODAY(),"ATRASADO",IF(J145=TODAY(),"ENTREGA HOJE","")))</f>
        <v/>
      </c>
    </row>
    <row r="146">
      <c r="A146" s="18" t="n"/>
      <c r="B146" s="19" t="n"/>
      <c r="C146" s="20" t="n"/>
      <c r="D146" s="20" t="n"/>
      <c r="E146" s="20" t="n"/>
      <c r="F146" s="18" t="n"/>
      <c r="G146" s="21">
        <f>IF(E146="","",IFERROR(VLOOKUP(E146,'Catálogo'!$A$5:$B$504,2,FALSE),0))</f>
        <v/>
      </c>
      <c r="H146" s="21" t="n"/>
      <c r="I146" s="21">
        <f>IF(E146="","",MAX(F146*G146-N(H146),0))</f>
        <v/>
      </c>
      <c r="J146" s="19" t="n"/>
      <c r="K146" s="20" t="n"/>
      <c r="L146" s="20" t="n"/>
      <c r="M146" s="20" t="n"/>
      <c r="N146" s="20">
        <f>IF(OR(E146="",M146="Entregue",M146="Cancelado",J146=""),"",IF(J146&lt;TODAY(),"ATRASADO",IF(J146=TODAY(),"ENTREGA HOJE","")))</f>
        <v/>
      </c>
    </row>
    <row r="147">
      <c r="A147" s="18" t="n"/>
      <c r="B147" s="19" t="n"/>
      <c r="C147" s="20" t="n"/>
      <c r="D147" s="20" t="n"/>
      <c r="E147" s="20" t="n"/>
      <c r="F147" s="18" t="n"/>
      <c r="G147" s="21">
        <f>IF(E147="","",IFERROR(VLOOKUP(E147,'Catálogo'!$A$5:$B$504,2,FALSE),0))</f>
        <v/>
      </c>
      <c r="H147" s="21" t="n"/>
      <c r="I147" s="21">
        <f>IF(E147="","",MAX(F147*G147-N(H147),0))</f>
        <v/>
      </c>
      <c r="J147" s="19" t="n"/>
      <c r="K147" s="20" t="n"/>
      <c r="L147" s="20" t="n"/>
      <c r="M147" s="20" t="n"/>
      <c r="N147" s="20">
        <f>IF(OR(E147="",M147="Entregue",M147="Cancelado",J147=""),"",IF(J147&lt;TODAY(),"ATRASADO",IF(J147=TODAY(),"ENTREGA HOJE","")))</f>
        <v/>
      </c>
    </row>
    <row r="148">
      <c r="A148" s="18" t="n"/>
      <c r="B148" s="19" t="n"/>
      <c r="C148" s="20" t="n"/>
      <c r="D148" s="20" t="n"/>
      <c r="E148" s="20" t="n"/>
      <c r="F148" s="18" t="n"/>
      <c r="G148" s="21">
        <f>IF(E148="","",IFERROR(VLOOKUP(E148,'Catálogo'!$A$5:$B$504,2,FALSE),0))</f>
        <v/>
      </c>
      <c r="H148" s="21" t="n"/>
      <c r="I148" s="21">
        <f>IF(E148="","",MAX(F148*G148-N(H148),0))</f>
        <v/>
      </c>
      <c r="J148" s="19" t="n"/>
      <c r="K148" s="20" t="n"/>
      <c r="L148" s="20" t="n"/>
      <c r="M148" s="20" t="n"/>
      <c r="N148" s="20">
        <f>IF(OR(E148="",M148="Entregue",M148="Cancelado",J148=""),"",IF(J148&lt;TODAY(),"ATRASADO",IF(J148=TODAY(),"ENTREGA HOJE","")))</f>
        <v/>
      </c>
    </row>
    <row r="149">
      <c r="A149" s="18" t="n"/>
      <c r="B149" s="19" t="n"/>
      <c r="C149" s="20" t="n"/>
      <c r="D149" s="20" t="n"/>
      <c r="E149" s="20" t="n"/>
      <c r="F149" s="18" t="n"/>
      <c r="G149" s="21">
        <f>IF(E149="","",IFERROR(VLOOKUP(E149,'Catálogo'!$A$5:$B$504,2,FALSE),0))</f>
        <v/>
      </c>
      <c r="H149" s="21" t="n"/>
      <c r="I149" s="21">
        <f>IF(E149="","",MAX(F149*G149-N(H149),0))</f>
        <v/>
      </c>
      <c r="J149" s="19" t="n"/>
      <c r="K149" s="20" t="n"/>
      <c r="L149" s="20" t="n"/>
      <c r="M149" s="20" t="n"/>
      <c r="N149" s="20">
        <f>IF(OR(E149="",M149="Entregue",M149="Cancelado",J149=""),"",IF(J149&lt;TODAY(),"ATRASADO",IF(J149=TODAY(),"ENTREGA HOJE","")))</f>
        <v/>
      </c>
    </row>
    <row r="150">
      <c r="A150" s="18" t="n"/>
      <c r="B150" s="19" t="n"/>
      <c r="C150" s="20" t="n"/>
      <c r="D150" s="20" t="n"/>
      <c r="E150" s="20" t="n"/>
      <c r="F150" s="18" t="n"/>
      <c r="G150" s="21">
        <f>IF(E150="","",IFERROR(VLOOKUP(E150,'Catálogo'!$A$5:$B$504,2,FALSE),0))</f>
        <v/>
      </c>
      <c r="H150" s="21" t="n"/>
      <c r="I150" s="21">
        <f>IF(E150="","",MAX(F150*G150-N(H150),0))</f>
        <v/>
      </c>
      <c r="J150" s="19" t="n"/>
      <c r="K150" s="20" t="n"/>
      <c r="L150" s="20" t="n"/>
      <c r="M150" s="20" t="n"/>
      <c r="N150" s="20">
        <f>IF(OR(E150="",M150="Entregue",M150="Cancelado",J150=""),"",IF(J150&lt;TODAY(),"ATRASADO",IF(J150=TODAY(),"ENTREGA HOJE","")))</f>
        <v/>
      </c>
    </row>
    <row r="151">
      <c r="A151" s="18" t="n"/>
      <c r="B151" s="19" t="n"/>
      <c r="C151" s="20" t="n"/>
      <c r="D151" s="20" t="n"/>
      <c r="E151" s="20" t="n"/>
      <c r="F151" s="18" t="n"/>
      <c r="G151" s="21">
        <f>IF(E151="","",IFERROR(VLOOKUP(E151,'Catálogo'!$A$5:$B$504,2,FALSE),0))</f>
        <v/>
      </c>
      <c r="H151" s="21" t="n"/>
      <c r="I151" s="21">
        <f>IF(E151="","",MAX(F151*G151-N(H151),0))</f>
        <v/>
      </c>
      <c r="J151" s="19" t="n"/>
      <c r="K151" s="20" t="n"/>
      <c r="L151" s="20" t="n"/>
      <c r="M151" s="20" t="n"/>
      <c r="N151" s="20">
        <f>IF(OR(E151="",M151="Entregue",M151="Cancelado",J151=""),"",IF(J151&lt;TODAY(),"ATRASADO",IF(J151=TODAY(),"ENTREGA HOJE","")))</f>
        <v/>
      </c>
    </row>
    <row r="152">
      <c r="A152" s="18" t="n"/>
      <c r="B152" s="19" t="n"/>
      <c r="C152" s="20" t="n"/>
      <c r="D152" s="20" t="n"/>
      <c r="E152" s="20" t="n"/>
      <c r="F152" s="18" t="n"/>
      <c r="G152" s="21">
        <f>IF(E152="","",IFERROR(VLOOKUP(E152,'Catálogo'!$A$5:$B$504,2,FALSE),0))</f>
        <v/>
      </c>
      <c r="H152" s="21" t="n"/>
      <c r="I152" s="21">
        <f>IF(E152="","",MAX(F152*G152-N(H152),0))</f>
        <v/>
      </c>
      <c r="J152" s="19" t="n"/>
      <c r="K152" s="20" t="n"/>
      <c r="L152" s="20" t="n"/>
      <c r="M152" s="20" t="n"/>
      <c r="N152" s="20">
        <f>IF(OR(E152="",M152="Entregue",M152="Cancelado",J152=""),"",IF(J152&lt;TODAY(),"ATRASADO",IF(J152=TODAY(),"ENTREGA HOJE","")))</f>
        <v/>
      </c>
    </row>
    <row r="153">
      <c r="A153" s="18" t="n"/>
      <c r="B153" s="19" t="n"/>
      <c r="C153" s="20" t="n"/>
      <c r="D153" s="20" t="n"/>
      <c r="E153" s="20" t="n"/>
      <c r="F153" s="18" t="n"/>
      <c r="G153" s="21">
        <f>IF(E153="","",IFERROR(VLOOKUP(E153,'Catálogo'!$A$5:$B$504,2,FALSE),0))</f>
        <v/>
      </c>
      <c r="H153" s="21" t="n"/>
      <c r="I153" s="21">
        <f>IF(E153="","",MAX(F153*G153-N(H153),0))</f>
        <v/>
      </c>
      <c r="J153" s="19" t="n"/>
      <c r="K153" s="20" t="n"/>
      <c r="L153" s="20" t="n"/>
      <c r="M153" s="20" t="n"/>
      <c r="N153" s="20">
        <f>IF(OR(E153="",M153="Entregue",M153="Cancelado",J153=""),"",IF(J153&lt;TODAY(),"ATRASADO",IF(J153=TODAY(),"ENTREGA HOJE","")))</f>
        <v/>
      </c>
    </row>
    <row r="154">
      <c r="A154" s="18" t="n"/>
      <c r="B154" s="19" t="n"/>
      <c r="C154" s="20" t="n"/>
      <c r="D154" s="20" t="n"/>
      <c r="E154" s="20" t="n"/>
      <c r="F154" s="18" t="n"/>
      <c r="G154" s="21">
        <f>IF(E154="","",IFERROR(VLOOKUP(E154,'Catálogo'!$A$5:$B$504,2,FALSE),0))</f>
        <v/>
      </c>
      <c r="H154" s="21" t="n"/>
      <c r="I154" s="21">
        <f>IF(E154="","",MAX(F154*G154-N(H154),0))</f>
        <v/>
      </c>
      <c r="J154" s="19" t="n"/>
      <c r="K154" s="20" t="n"/>
      <c r="L154" s="20" t="n"/>
      <c r="M154" s="20" t="n"/>
      <c r="N154" s="20">
        <f>IF(OR(E154="",M154="Entregue",M154="Cancelado",J154=""),"",IF(J154&lt;TODAY(),"ATRASADO",IF(J154=TODAY(),"ENTREGA HOJE","")))</f>
        <v/>
      </c>
    </row>
    <row r="155">
      <c r="A155" s="18" t="n"/>
      <c r="B155" s="19" t="n"/>
      <c r="C155" s="20" t="n"/>
      <c r="D155" s="20" t="n"/>
      <c r="E155" s="20" t="n"/>
      <c r="F155" s="18" t="n"/>
      <c r="G155" s="21">
        <f>IF(E155="","",IFERROR(VLOOKUP(E155,'Catálogo'!$A$5:$B$504,2,FALSE),0))</f>
        <v/>
      </c>
      <c r="H155" s="21" t="n"/>
      <c r="I155" s="21">
        <f>IF(E155="","",MAX(F155*G155-N(H155),0))</f>
        <v/>
      </c>
      <c r="J155" s="19" t="n"/>
      <c r="K155" s="20" t="n"/>
      <c r="L155" s="20" t="n"/>
      <c r="M155" s="20" t="n"/>
      <c r="N155" s="20">
        <f>IF(OR(E155="",M155="Entregue",M155="Cancelado",J155=""),"",IF(J155&lt;TODAY(),"ATRASADO",IF(J155=TODAY(),"ENTREGA HOJE","")))</f>
        <v/>
      </c>
    </row>
    <row r="156">
      <c r="A156" s="18" t="n"/>
      <c r="B156" s="19" t="n"/>
      <c r="C156" s="20" t="n"/>
      <c r="D156" s="20" t="n"/>
      <c r="E156" s="20" t="n"/>
      <c r="F156" s="18" t="n"/>
      <c r="G156" s="21">
        <f>IF(E156="","",IFERROR(VLOOKUP(E156,'Catálogo'!$A$5:$B$504,2,FALSE),0))</f>
        <v/>
      </c>
      <c r="H156" s="21" t="n"/>
      <c r="I156" s="21">
        <f>IF(E156="","",MAX(F156*G156-N(H156),0))</f>
        <v/>
      </c>
      <c r="J156" s="19" t="n"/>
      <c r="K156" s="20" t="n"/>
      <c r="L156" s="20" t="n"/>
      <c r="M156" s="20" t="n"/>
      <c r="N156" s="20">
        <f>IF(OR(E156="",M156="Entregue",M156="Cancelado",J156=""),"",IF(J156&lt;TODAY(),"ATRASADO",IF(J156=TODAY(),"ENTREGA HOJE","")))</f>
        <v/>
      </c>
    </row>
    <row r="157">
      <c r="A157" s="18" t="n"/>
      <c r="B157" s="19" t="n"/>
      <c r="C157" s="20" t="n"/>
      <c r="D157" s="20" t="n"/>
      <c r="E157" s="20" t="n"/>
      <c r="F157" s="18" t="n"/>
      <c r="G157" s="21">
        <f>IF(E157="","",IFERROR(VLOOKUP(E157,'Catálogo'!$A$5:$B$504,2,FALSE),0))</f>
        <v/>
      </c>
      <c r="H157" s="21" t="n"/>
      <c r="I157" s="21">
        <f>IF(E157="","",MAX(F157*G157-N(H157),0))</f>
        <v/>
      </c>
      <c r="J157" s="19" t="n"/>
      <c r="K157" s="20" t="n"/>
      <c r="L157" s="20" t="n"/>
      <c r="M157" s="20" t="n"/>
      <c r="N157" s="20">
        <f>IF(OR(E157="",M157="Entregue",M157="Cancelado",J157=""),"",IF(J157&lt;TODAY(),"ATRASADO",IF(J157=TODAY(),"ENTREGA HOJE","")))</f>
        <v/>
      </c>
    </row>
    <row r="158">
      <c r="A158" s="18" t="n"/>
      <c r="B158" s="19" t="n"/>
      <c r="C158" s="20" t="n"/>
      <c r="D158" s="20" t="n"/>
      <c r="E158" s="20" t="n"/>
      <c r="F158" s="18" t="n"/>
      <c r="G158" s="21">
        <f>IF(E158="","",IFERROR(VLOOKUP(E158,'Catálogo'!$A$5:$B$504,2,FALSE),0))</f>
        <v/>
      </c>
      <c r="H158" s="21" t="n"/>
      <c r="I158" s="21">
        <f>IF(E158="","",MAX(F158*G158-N(H158),0))</f>
        <v/>
      </c>
      <c r="J158" s="19" t="n"/>
      <c r="K158" s="20" t="n"/>
      <c r="L158" s="20" t="n"/>
      <c r="M158" s="20" t="n"/>
      <c r="N158" s="20">
        <f>IF(OR(E158="",M158="Entregue",M158="Cancelado",J158=""),"",IF(J158&lt;TODAY(),"ATRASADO",IF(J158=TODAY(),"ENTREGA HOJE","")))</f>
        <v/>
      </c>
    </row>
    <row r="159">
      <c r="A159" s="18" t="n"/>
      <c r="B159" s="19" t="n"/>
      <c r="C159" s="20" t="n"/>
      <c r="D159" s="20" t="n"/>
      <c r="E159" s="20" t="n"/>
      <c r="F159" s="18" t="n"/>
      <c r="G159" s="21">
        <f>IF(E159="","",IFERROR(VLOOKUP(E159,'Catálogo'!$A$5:$B$504,2,FALSE),0))</f>
        <v/>
      </c>
      <c r="H159" s="21" t="n"/>
      <c r="I159" s="21">
        <f>IF(E159="","",MAX(F159*G159-N(H159),0))</f>
        <v/>
      </c>
      <c r="J159" s="19" t="n"/>
      <c r="K159" s="20" t="n"/>
      <c r="L159" s="20" t="n"/>
      <c r="M159" s="20" t="n"/>
      <c r="N159" s="20">
        <f>IF(OR(E159="",M159="Entregue",M159="Cancelado",J159=""),"",IF(J159&lt;TODAY(),"ATRASADO",IF(J159=TODAY(),"ENTREGA HOJE","")))</f>
        <v/>
      </c>
    </row>
    <row r="160">
      <c r="A160" s="18" t="n"/>
      <c r="B160" s="19" t="n"/>
      <c r="C160" s="20" t="n"/>
      <c r="D160" s="20" t="n"/>
      <c r="E160" s="20" t="n"/>
      <c r="F160" s="18" t="n"/>
      <c r="G160" s="21">
        <f>IF(E160="","",IFERROR(VLOOKUP(E160,'Catálogo'!$A$5:$B$504,2,FALSE),0))</f>
        <v/>
      </c>
      <c r="H160" s="21" t="n"/>
      <c r="I160" s="21">
        <f>IF(E160="","",MAX(F160*G160-N(H160),0))</f>
        <v/>
      </c>
      <c r="J160" s="19" t="n"/>
      <c r="K160" s="20" t="n"/>
      <c r="L160" s="20" t="n"/>
      <c r="M160" s="20" t="n"/>
      <c r="N160" s="20">
        <f>IF(OR(E160="",M160="Entregue",M160="Cancelado",J160=""),"",IF(J160&lt;TODAY(),"ATRASADO",IF(J160=TODAY(),"ENTREGA HOJE","")))</f>
        <v/>
      </c>
    </row>
    <row r="161">
      <c r="A161" s="18" t="n"/>
      <c r="B161" s="19" t="n"/>
      <c r="C161" s="20" t="n"/>
      <c r="D161" s="20" t="n"/>
      <c r="E161" s="20" t="n"/>
      <c r="F161" s="18" t="n"/>
      <c r="G161" s="21">
        <f>IF(E161="","",IFERROR(VLOOKUP(E161,'Catálogo'!$A$5:$B$504,2,FALSE),0))</f>
        <v/>
      </c>
      <c r="H161" s="21" t="n"/>
      <c r="I161" s="21">
        <f>IF(E161="","",MAX(F161*G161-N(H161),0))</f>
        <v/>
      </c>
      <c r="J161" s="19" t="n"/>
      <c r="K161" s="20" t="n"/>
      <c r="L161" s="20" t="n"/>
      <c r="M161" s="20" t="n"/>
      <c r="N161" s="20">
        <f>IF(OR(E161="",M161="Entregue",M161="Cancelado",J161=""),"",IF(J161&lt;TODAY(),"ATRASADO",IF(J161=TODAY(),"ENTREGA HOJE","")))</f>
        <v/>
      </c>
    </row>
    <row r="162">
      <c r="A162" s="18" t="n"/>
      <c r="B162" s="19" t="n"/>
      <c r="C162" s="20" t="n"/>
      <c r="D162" s="20" t="n"/>
      <c r="E162" s="20" t="n"/>
      <c r="F162" s="18" t="n"/>
      <c r="G162" s="21">
        <f>IF(E162="","",IFERROR(VLOOKUP(E162,'Catálogo'!$A$5:$B$504,2,FALSE),0))</f>
        <v/>
      </c>
      <c r="H162" s="21" t="n"/>
      <c r="I162" s="21">
        <f>IF(E162="","",MAX(F162*G162-N(H162),0))</f>
        <v/>
      </c>
      <c r="J162" s="19" t="n"/>
      <c r="K162" s="20" t="n"/>
      <c r="L162" s="20" t="n"/>
      <c r="M162" s="20" t="n"/>
      <c r="N162" s="20">
        <f>IF(OR(E162="",M162="Entregue",M162="Cancelado",J162=""),"",IF(J162&lt;TODAY(),"ATRASADO",IF(J162=TODAY(),"ENTREGA HOJE","")))</f>
        <v/>
      </c>
    </row>
    <row r="163">
      <c r="A163" s="18" t="n"/>
      <c r="B163" s="19" t="n"/>
      <c r="C163" s="20" t="n"/>
      <c r="D163" s="20" t="n"/>
      <c r="E163" s="20" t="n"/>
      <c r="F163" s="18" t="n"/>
      <c r="G163" s="21">
        <f>IF(E163="","",IFERROR(VLOOKUP(E163,'Catálogo'!$A$5:$B$504,2,FALSE),0))</f>
        <v/>
      </c>
      <c r="H163" s="21" t="n"/>
      <c r="I163" s="21">
        <f>IF(E163="","",MAX(F163*G163-N(H163),0))</f>
        <v/>
      </c>
      <c r="J163" s="19" t="n"/>
      <c r="K163" s="20" t="n"/>
      <c r="L163" s="20" t="n"/>
      <c r="M163" s="20" t="n"/>
      <c r="N163" s="20">
        <f>IF(OR(E163="",M163="Entregue",M163="Cancelado",J163=""),"",IF(J163&lt;TODAY(),"ATRASADO",IF(J163=TODAY(),"ENTREGA HOJE","")))</f>
        <v/>
      </c>
    </row>
    <row r="164">
      <c r="A164" s="18" t="n"/>
      <c r="B164" s="19" t="n"/>
      <c r="C164" s="20" t="n"/>
      <c r="D164" s="20" t="n"/>
      <c r="E164" s="20" t="n"/>
      <c r="F164" s="18" t="n"/>
      <c r="G164" s="21">
        <f>IF(E164="","",IFERROR(VLOOKUP(E164,'Catálogo'!$A$5:$B$504,2,FALSE),0))</f>
        <v/>
      </c>
      <c r="H164" s="21" t="n"/>
      <c r="I164" s="21">
        <f>IF(E164="","",MAX(F164*G164-N(H164),0))</f>
        <v/>
      </c>
      <c r="J164" s="19" t="n"/>
      <c r="K164" s="20" t="n"/>
      <c r="L164" s="20" t="n"/>
      <c r="M164" s="20" t="n"/>
      <c r="N164" s="20">
        <f>IF(OR(E164="",M164="Entregue",M164="Cancelado",J164=""),"",IF(J164&lt;TODAY(),"ATRASADO",IF(J164=TODAY(),"ENTREGA HOJE","")))</f>
        <v/>
      </c>
    </row>
    <row r="165">
      <c r="A165" s="18" t="n"/>
      <c r="B165" s="19" t="n"/>
      <c r="C165" s="20" t="n"/>
      <c r="D165" s="20" t="n"/>
      <c r="E165" s="20" t="n"/>
      <c r="F165" s="18" t="n"/>
      <c r="G165" s="21">
        <f>IF(E165="","",IFERROR(VLOOKUP(E165,'Catálogo'!$A$5:$B$504,2,FALSE),0))</f>
        <v/>
      </c>
      <c r="H165" s="21" t="n"/>
      <c r="I165" s="21">
        <f>IF(E165="","",MAX(F165*G165-N(H165),0))</f>
        <v/>
      </c>
      <c r="J165" s="19" t="n"/>
      <c r="K165" s="20" t="n"/>
      <c r="L165" s="20" t="n"/>
      <c r="M165" s="20" t="n"/>
      <c r="N165" s="20">
        <f>IF(OR(E165="",M165="Entregue",M165="Cancelado",J165=""),"",IF(J165&lt;TODAY(),"ATRASADO",IF(J165=TODAY(),"ENTREGA HOJE","")))</f>
        <v/>
      </c>
    </row>
    <row r="166">
      <c r="A166" s="18" t="n"/>
      <c r="B166" s="19" t="n"/>
      <c r="C166" s="20" t="n"/>
      <c r="D166" s="20" t="n"/>
      <c r="E166" s="20" t="n"/>
      <c r="F166" s="18" t="n"/>
      <c r="G166" s="21">
        <f>IF(E166="","",IFERROR(VLOOKUP(E166,'Catálogo'!$A$5:$B$504,2,FALSE),0))</f>
        <v/>
      </c>
      <c r="H166" s="21" t="n"/>
      <c r="I166" s="21">
        <f>IF(E166="","",MAX(F166*G166-N(H166),0))</f>
        <v/>
      </c>
      <c r="J166" s="19" t="n"/>
      <c r="K166" s="20" t="n"/>
      <c r="L166" s="20" t="n"/>
      <c r="M166" s="20" t="n"/>
      <c r="N166" s="20">
        <f>IF(OR(E166="",M166="Entregue",M166="Cancelado",J166=""),"",IF(J166&lt;TODAY(),"ATRASADO",IF(J166=TODAY(),"ENTREGA HOJE","")))</f>
        <v/>
      </c>
    </row>
    <row r="167">
      <c r="A167" s="18" t="n"/>
      <c r="B167" s="19" t="n"/>
      <c r="C167" s="20" t="n"/>
      <c r="D167" s="20" t="n"/>
      <c r="E167" s="20" t="n"/>
      <c r="F167" s="18" t="n"/>
      <c r="G167" s="21">
        <f>IF(E167="","",IFERROR(VLOOKUP(E167,'Catálogo'!$A$5:$B$504,2,FALSE),0))</f>
        <v/>
      </c>
      <c r="H167" s="21" t="n"/>
      <c r="I167" s="21">
        <f>IF(E167="","",MAX(F167*G167-N(H167),0))</f>
        <v/>
      </c>
      <c r="J167" s="19" t="n"/>
      <c r="K167" s="20" t="n"/>
      <c r="L167" s="20" t="n"/>
      <c r="M167" s="20" t="n"/>
      <c r="N167" s="20">
        <f>IF(OR(E167="",M167="Entregue",M167="Cancelado",J167=""),"",IF(J167&lt;TODAY(),"ATRASADO",IF(J167=TODAY(),"ENTREGA HOJE","")))</f>
        <v/>
      </c>
    </row>
    <row r="168">
      <c r="A168" s="18" t="n"/>
      <c r="B168" s="19" t="n"/>
      <c r="C168" s="20" t="n"/>
      <c r="D168" s="20" t="n"/>
      <c r="E168" s="20" t="n"/>
      <c r="F168" s="18" t="n"/>
      <c r="G168" s="21">
        <f>IF(E168="","",IFERROR(VLOOKUP(E168,'Catálogo'!$A$5:$B$504,2,FALSE),0))</f>
        <v/>
      </c>
      <c r="H168" s="21" t="n"/>
      <c r="I168" s="21">
        <f>IF(E168="","",MAX(F168*G168-N(H168),0))</f>
        <v/>
      </c>
      <c r="J168" s="19" t="n"/>
      <c r="K168" s="20" t="n"/>
      <c r="L168" s="20" t="n"/>
      <c r="M168" s="20" t="n"/>
      <c r="N168" s="20">
        <f>IF(OR(E168="",M168="Entregue",M168="Cancelado",J168=""),"",IF(J168&lt;TODAY(),"ATRASADO",IF(J168=TODAY(),"ENTREGA HOJE","")))</f>
        <v/>
      </c>
    </row>
    <row r="169">
      <c r="A169" s="18" t="n"/>
      <c r="B169" s="19" t="n"/>
      <c r="C169" s="20" t="n"/>
      <c r="D169" s="20" t="n"/>
      <c r="E169" s="20" t="n"/>
      <c r="F169" s="18" t="n"/>
      <c r="G169" s="21">
        <f>IF(E169="","",IFERROR(VLOOKUP(E169,'Catálogo'!$A$5:$B$504,2,FALSE),0))</f>
        <v/>
      </c>
      <c r="H169" s="21" t="n"/>
      <c r="I169" s="21">
        <f>IF(E169="","",MAX(F169*G169-N(H169),0))</f>
        <v/>
      </c>
      <c r="J169" s="19" t="n"/>
      <c r="K169" s="20" t="n"/>
      <c r="L169" s="20" t="n"/>
      <c r="M169" s="20" t="n"/>
      <c r="N169" s="20">
        <f>IF(OR(E169="",M169="Entregue",M169="Cancelado",J169=""),"",IF(J169&lt;TODAY(),"ATRASADO",IF(J169=TODAY(),"ENTREGA HOJE","")))</f>
        <v/>
      </c>
    </row>
    <row r="170">
      <c r="A170" s="18" t="n"/>
      <c r="B170" s="19" t="n"/>
      <c r="C170" s="20" t="n"/>
      <c r="D170" s="20" t="n"/>
      <c r="E170" s="20" t="n"/>
      <c r="F170" s="18" t="n"/>
      <c r="G170" s="21">
        <f>IF(E170="","",IFERROR(VLOOKUP(E170,'Catálogo'!$A$5:$B$504,2,FALSE),0))</f>
        <v/>
      </c>
      <c r="H170" s="21" t="n"/>
      <c r="I170" s="21">
        <f>IF(E170="","",MAX(F170*G170-N(H170),0))</f>
        <v/>
      </c>
      <c r="J170" s="19" t="n"/>
      <c r="K170" s="20" t="n"/>
      <c r="L170" s="20" t="n"/>
      <c r="M170" s="20" t="n"/>
      <c r="N170" s="20">
        <f>IF(OR(E170="",M170="Entregue",M170="Cancelado",J170=""),"",IF(J170&lt;TODAY(),"ATRASADO",IF(J170=TODAY(),"ENTREGA HOJE","")))</f>
        <v/>
      </c>
    </row>
    <row r="171">
      <c r="A171" s="18" t="n"/>
      <c r="B171" s="19" t="n"/>
      <c r="C171" s="20" t="n"/>
      <c r="D171" s="20" t="n"/>
      <c r="E171" s="20" t="n"/>
      <c r="F171" s="18" t="n"/>
      <c r="G171" s="21">
        <f>IF(E171="","",IFERROR(VLOOKUP(E171,'Catálogo'!$A$5:$B$504,2,FALSE),0))</f>
        <v/>
      </c>
      <c r="H171" s="21" t="n"/>
      <c r="I171" s="21">
        <f>IF(E171="","",MAX(F171*G171-N(H171),0))</f>
        <v/>
      </c>
      <c r="J171" s="19" t="n"/>
      <c r="K171" s="20" t="n"/>
      <c r="L171" s="20" t="n"/>
      <c r="M171" s="20" t="n"/>
      <c r="N171" s="20">
        <f>IF(OR(E171="",M171="Entregue",M171="Cancelado",J171=""),"",IF(J171&lt;TODAY(),"ATRASADO",IF(J171=TODAY(),"ENTREGA HOJE","")))</f>
        <v/>
      </c>
    </row>
    <row r="172">
      <c r="A172" s="18" t="n"/>
      <c r="B172" s="19" t="n"/>
      <c r="C172" s="20" t="n"/>
      <c r="D172" s="20" t="n"/>
      <c r="E172" s="20" t="n"/>
      <c r="F172" s="18" t="n"/>
      <c r="G172" s="21">
        <f>IF(E172="","",IFERROR(VLOOKUP(E172,'Catálogo'!$A$5:$B$504,2,FALSE),0))</f>
        <v/>
      </c>
      <c r="H172" s="21" t="n"/>
      <c r="I172" s="21">
        <f>IF(E172="","",MAX(F172*G172-N(H172),0))</f>
        <v/>
      </c>
      <c r="J172" s="19" t="n"/>
      <c r="K172" s="20" t="n"/>
      <c r="L172" s="20" t="n"/>
      <c r="M172" s="20" t="n"/>
      <c r="N172" s="20">
        <f>IF(OR(E172="",M172="Entregue",M172="Cancelado",J172=""),"",IF(J172&lt;TODAY(),"ATRASADO",IF(J172=TODAY(),"ENTREGA HOJE","")))</f>
        <v/>
      </c>
    </row>
    <row r="173">
      <c r="A173" s="18" t="n"/>
      <c r="B173" s="19" t="n"/>
      <c r="C173" s="20" t="n"/>
      <c r="D173" s="20" t="n"/>
      <c r="E173" s="20" t="n"/>
      <c r="F173" s="18" t="n"/>
      <c r="G173" s="21">
        <f>IF(E173="","",IFERROR(VLOOKUP(E173,'Catálogo'!$A$5:$B$504,2,FALSE),0))</f>
        <v/>
      </c>
      <c r="H173" s="21" t="n"/>
      <c r="I173" s="21">
        <f>IF(E173="","",MAX(F173*G173-N(H173),0))</f>
        <v/>
      </c>
      <c r="J173" s="19" t="n"/>
      <c r="K173" s="20" t="n"/>
      <c r="L173" s="20" t="n"/>
      <c r="M173" s="20" t="n"/>
      <c r="N173" s="20">
        <f>IF(OR(E173="",M173="Entregue",M173="Cancelado",J173=""),"",IF(J173&lt;TODAY(),"ATRASADO",IF(J173=TODAY(),"ENTREGA HOJE","")))</f>
        <v/>
      </c>
    </row>
    <row r="174">
      <c r="A174" s="18" t="n"/>
      <c r="B174" s="19" t="n"/>
      <c r="C174" s="20" t="n"/>
      <c r="D174" s="20" t="n"/>
      <c r="E174" s="20" t="n"/>
      <c r="F174" s="18" t="n"/>
      <c r="G174" s="21">
        <f>IF(E174="","",IFERROR(VLOOKUP(E174,'Catálogo'!$A$5:$B$504,2,FALSE),0))</f>
        <v/>
      </c>
      <c r="H174" s="21" t="n"/>
      <c r="I174" s="21">
        <f>IF(E174="","",MAX(F174*G174-N(H174),0))</f>
        <v/>
      </c>
      <c r="J174" s="19" t="n"/>
      <c r="K174" s="20" t="n"/>
      <c r="L174" s="20" t="n"/>
      <c r="M174" s="20" t="n"/>
      <c r="N174" s="20">
        <f>IF(OR(E174="",M174="Entregue",M174="Cancelado",J174=""),"",IF(J174&lt;TODAY(),"ATRASADO",IF(J174=TODAY(),"ENTREGA HOJE","")))</f>
        <v/>
      </c>
    </row>
    <row r="175">
      <c r="A175" s="18" t="n"/>
      <c r="B175" s="19" t="n"/>
      <c r="C175" s="20" t="n"/>
      <c r="D175" s="20" t="n"/>
      <c r="E175" s="20" t="n"/>
      <c r="F175" s="18" t="n"/>
      <c r="G175" s="21">
        <f>IF(E175="","",IFERROR(VLOOKUP(E175,'Catálogo'!$A$5:$B$504,2,FALSE),0))</f>
        <v/>
      </c>
      <c r="H175" s="21" t="n"/>
      <c r="I175" s="21">
        <f>IF(E175="","",MAX(F175*G175-N(H175),0))</f>
        <v/>
      </c>
      <c r="J175" s="19" t="n"/>
      <c r="K175" s="20" t="n"/>
      <c r="L175" s="20" t="n"/>
      <c r="M175" s="20" t="n"/>
      <c r="N175" s="20">
        <f>IF(OR(E175="",M175="Entregue",M175="Cancelado",J175=""),"",IF(J175&lt;TODAY(),"ATRASADO",IF(J175=TODAY(),"ENTREGA HOJE","")))</f>
        <v/>
      </c>
    </row>
    <row r="176">
      <c r="A176" s="18" t="n"/>
      <c r="B176" s="19" t="n"/>
      <c r="C176" s="20" t="n"/>
      <c r="D176" s="20" t="n"/>
      <c r="E176" s="20" t="n"/>
      <c r="F176" s="18" t="n"/>
      <c r="G176" s="21">
        <f>IF(E176="","",IFERROR(VLOOKUP(E176,'Catálogo'!$A$5:$B$504,2,FALSE),0))</f>
        <v/>
      </c>
      <c r="H176" s="21" t="n"/>
      <c r="I176" s="21">
        <f>IF(E176="","",MAX(F176*G176-N(H176),0))</f>
        <v/>
      </c>
      <c r="J176" s="19" t="n"/>
      <c r="K176" s="20" t="n"/>
      <c r="L176" s="20" t="n"/>
      <c r="M176" s="20" t="n"/>
      <c r="N176" s="20">
        <f>IF(OR(E176="",M176="Entregue",M176="Cancelado",J176=""),"",IF(J176&lt;TODAY(),"ATRASADO",IF(J176=TODAY(),"ENTREGA HOJE","")))</f>
        <v/>
      </c>
    </row>
    <row r="177">
      <c r="A177" s="18" t="n"/>
      <c r="B177" s="19" t="n"/>
      <c r="C177" s="20" t="n"/>
      <c r="D177" s="20" t="n"/>
      <c r="E177" s="20" t="n"/>
      <c r="F177" s="18" t="n"/>
      <c r="G177" s="21">
        <f>IF(E177="","",IFERROR(VLOOKUP(E177,'Catálogo'!$A$5:$B$504,2,FALSE),0))</f>
        <v/>
      </c>
      <c r="H177" s="21" t="n"/>
      <c r="I177" s="21">
        <f>IF(E177="","",MAX(F177*G177-N(H177),0))</f>
        <v/>
      </c>
      <c r="J177" s="19" t="n"/>
      <c r="K177" s="20" t="n"/>
      <c r="L177" s="20" t="n"/>
      <c r="M177" s="20" t="n"/>
      <c r="N177" s="20">
        <f>IF(OR(E177="",M177="Entregue",M177="Cancelado",J177=""),"",IF(J177&lt;TODAY(),"ATRASADO",IF(J177=TODAY(),"ENTREGA HOJE","")))</f>
        <v/>
      </c>
    </row>
    <row r="178">
      <c r="A178" s="18" t="n"/>
      <c r="B178" s="19" t="n"/>
      <c r="C178" s="20" t="n"/>
      <c r="D178" s="20" t="n"/>
      <c r="E178" s="20" t="n"/>
      <c r="F178" s="18" t="n"/>
      <c r="G178" s="21">
        <f>IF(E178="","",IFERROR(VLOOKUP(E178,'Catálogo'!$A$5:$B$504,2,FALSE),0))</f>
        <v/>
      </c>
      <c r="H178" s="21" t="n"/>
      <c r="I178" s="21">
        <f>IF(E178="","",MAX(F178*G178-N(H178),0))</f>
        <v/>
      </c>
      <c r="J178" s="19" t="n"/>
      <c r="K178" s="20" t="n"/>
      <c r="L178" s="20" t="n"/>
      <c r="M178" s="20" t="n"/>
      <c r="N178" s="20">
        <f>IF(OR(E178="",M178="Entregue",M178="Cancelado",J178=""),"",IF(J178&lt;TODAY(),"ATRASADO",IF(J178=TODAY(),"ENTREGA HOJE","")))</f>
        <v/>
      </c>
    </row>
    <row r="179">
      <c r="A179" s="18" t="n"/>
      <c r="B179" s="19" t="n"/>
      <c r="C179" s="20" t="n"/>
      <c r="D179" s="20" t="n"/>
      <c r="E179" s="20" t="n"/>
      <c r="F179" s="18" t="n"/>
      <c r="G179" s="21">
        <f>IF(E179="","",IFERROR(VLOOKUP(E179,'Catálogo'!$A$5:$B$504,2,FALSE),0))</f>
        <v/>
      </c>
      <c r="H179" s="21" t="n"/>
      <c r="I179" s="21">
        <f>IF(E179="","",MAX(F179*G179-N(H179),0))</f>
        <v/>
      </c>
      <c r="J179" s="19" t="n"/>
      <c r="K179" s="20" t="n"/>
      <c r="L179" s="20" t="n"/>
      <c r="M179" s="20" t="n"/>
      <c r="N179" s="20">
        <f>IF(OR(E179="",M179="Entregue",M179="Cancelado",J179=""),"",IF(J179&lt;TODAY(),"ATRASADO",IF(J179=TODAY(),"ENTREGA HOJE","")))</f>
        <v/>
      </c>
    </row>
    <row r="180">
      <c r="A180" s="18" t="n"/>
      <c r="B180" s="19" t="n"/>
      <c r="C180" s="20" t="n"/>
      <c r="D180" s="20" t="n"/>
      <c r="E180" s="20" t="n"/>
      <c r="F180" s="18" t="n"/>
      <c r="G180" s="21">
        <f>IF(E180="","",IFERROR(VLOOKUP(E180,'Catálogo'!$A$5:$B$504,2,FALSE),0))</f>
        <v/>
      </c>
      <c r="H180" s="21" t="n"/>
      <c r="I180" s="21">
        <f>IF(E180="","",MAX(F180*G180-N(H180),0))</f>
        <v/>
      </c>
      <c r="J180" s="19" t="n"/>
      <c r="K180" s="20" t="n"/>
      <c r="L180" s="20" t="n"/>
      <c r="M180" s="20" t="n"/>
      <c r="N180" s="20">
        <f>IF(OR(E180="",M180="Entregue",M180="Cancelado",J180=""),"",IF(J180&lt;TODAY(),"ATRASADO",IF(J180=TODAY(),"ENTREGA HOJE","")))</f>
        <v/>
      </c>
    </row>
    <row r="181">
      <c r="A181" s="18" t="n"/>
      <c r="B181" s="19" t="n"/>
      <c r="C181" s="20" t="n"/>
      <c r="D181" s="20" t="n"/>
      <c r="E181" s="20" t="n"/>
      <c r="F181" s="18" t="n"/>
      <c r="G181" s="21">
        <f>IF(E181="","",IFERROR(VLOOKUP(E181,'Catálogo'!$A$5:$B$504,2,FALSE),0))</f>
        <v/>
      </c>
      <c r="H181" s="21" t="n"/>
      <c r="I181" s="21">
        <f>IF(E181="","",MAX(F181*G181-N(H181),0))</f>
        <v/>
      </c>
      <c r="J181" s="19" t="n"/>
      <c r="K181" s="20" t="n"/>
      <c r="L181" s="20" t="n"/>
      <c r="M181" s="20" t="n"/>
      <c r="N181" s="20">
        <f>IF(OR(E181="",M181="Entregue",M181="Cancelado",J181=""),"",IF(J181&lt;TODAY(),"ATRASADO",IF(J181=TODAY(),"ENTREGA HOJE","")))</f>
        <v/>
      </c>
    </row>
    <row r="182">
      <c r="A182" s="18" t="n"/>
      <c r="B182" s="19" t="n"/>
      <c r="C182" s="20" t="n"/>
      <c r="D182" s="20" t="n"/>
      <c r="E182" s="20" t="n"/>
      <c r="F182" s="18" t="n"/>
      <c r="G182" s="21">
        <f>IF(E182="","",IFERROR(VLOOKUP(E182,'Catálogo'!$A$5:$B$504,2,FALSE),0))</f>
        <v/>
      </c>
      <c r="H182" s="21" t="n"/>
      <c r="I182" s="21">
        <f>IF(E182="","",MAX(F182*G182-N(H182),0))</f>
        <v/>
      </c>
      <c r="J182" s="19" t="n"/>
      <c r="K182" s="20" t="n"/>
      <c r="L182" s="20" t="n"/>
      <c r="M182" s="20" t="n"/>
      <c r="N182" s="20">
        <f>IF(OR(E182="",M182="Entregue",M182="Cancelado",J182=""),"",IF(J182&lt;TODAY(),"ATRASADO",IF(J182=TODAY(),"ENTREGA HOJE","")))</f>
        <v/>
      </c>
    </row>
    <row r="183">
      <c r="A183" s="18" t="n"/>
      <c r="B183" s="19" t="n"/>
      <c r="C183" s="20" t="n"/>
      <c r="D183" s="20" t="n"/>
      <c r="E183" s="20" t="n"/>
      <c r="F183" s="18" t="n"/>
      <c r="G183" s="21">
        <f>IF(E183="","",IFERROR(VLOOKUP(E183,'Catálogo'!$A$5:$B$504,2,FALSE),0))</f>
        <v/>
      </c>
      <c r="H183" s="21" t="n"/>
      <c r="I183" s="21">
        <f>IF(E183="","",MAX(F183*G183-N(H183),0))</f>
        <v/>
      </c>
      <c r="J183" s="19" t="n"/>
      <c r="K183" s="20" t="n"/>
      <c r="L183" s="20" t="n"/>
      <c r="M183" s="20" t="n"/>
      <c r="N183" s="20">
        <f>IF(OR(E183="",M183="Entregue",M183="Cancelado",J183=""),"",IF(J183&lt;TODAY(),"ATRASADO",IF(J183=TODAY(),"ENTREGA HOJE","")))</f>
        <v/>
      </c>
    </row>
    <row r="184">
      <c r="A184" s="18" t="n"/>
      <c r="B184" s="19" t="n"/>
      <c r="C184" s="20" t="n"/>
      <c r="D184" s="20" t="n"/>
      <c r="E184" s="20" t="n"/>
      <c r="F184" s="18" t="n"/>
      <c r="G184" s="21">
        <f>IF(E184="","",IFERROR(VLOOKUP(E184,'Catálogo'!$A$5:$B$504,2,FALSE),0))</f>
        <v/>
      </c>
      <c r="H184" s="21" t="n"/>
      <c r="I184" s="21">
        <f>IF(E184="","",MAX(F184*G184-N(H184),0))</f>
        <v/>
      </c>
      <c r="J184" s="19" t="n"/>
      <c r="K184" s="20" t="n"/>
      <c r="L184" s="20" t="n"/>
      <c r="M184" s="20" t="n"/>
      <c r="N184" s="20">
        <f>IF(OR(E184="",M184="Entregue",M184="Cancelado",J184=""),"",IF(J184&lt;TODAY(),"ATRASADO",IF(J184=TODAY(),"ENTREGA HOJE","")))</f>
        <v/>
      </c>
    </row>
    <row r="185">
      <c r="A185" s="18" t="n"/>
      <c r="B185" s="19" t="n"/>
      <c r="C185" s="20" t="n"/>
      <c r="D185" s="20" t="n"/>
      <c r="E185" s="20" t="n"/>
      <c r="F185" s="18" t="n"/>
      <c r="G185" s="21">
        <f>IF(E185="","",IFERROR(VLOOKUP(E185,'Catálogo'!$A$5:$B$504,2,FALSE),0))</f>
        <v/>
      </c>
      <c r="H185" s="21" t="n"/>
      <c r="I185" s="21">
        <f>IF(E185="","",MAX(F185*G185-N(H185),0))</f>
        <v/>
      </c>
      <c r="J185" s="19" t="n"/>
      <c r="K185" s="20" t="n"/>
      <c r="L185" s="20" t="n"/>
      <c r="M185" s="20" t="n"/>
      <c r="N185" s="20">
        <f>IF(OR(E185="",M185="Entregue",M185="Cancelado",J185=""),"",IF(J185&lt;TODAY(),"ATRASADO",IF(J185=TODAY(),"ENTREGA HOJE","")))</f>
        <v/>
      </c>
    </row>
    <row r="186">
      <c r="A186" s="18" t="n"/>
      <c r="B186" s="19" t="n"/>
      <c r="C186" s="20" t="n"/>
      <c r="D186" s="20" t="n"/>
      <c r="E186" s="20" t="n"/>
      <c r="F186" s="18" t="n"/>
      <c r="G186" s="21">
        <f>IF(E186="","",IFERROR(VLOOKUP(E186,'Catálogo'!$A$5:$B$504,2,FALSE),0))</f>
        <v/>
      </c>
      <c r="H186" s="21" t="n"/>
      <c r="I186" s="21">
        <f>IF(E186="","",MAX(F186*G186-N(H186),0))</f>
        <v/>
      </c>
      <c r="J186" s="19" t="n"/>
      <c r="K186" s="20" t="n"/>
      <c r="L186" s="20" t="n"/>
      <c r="M186" s="20" t="n"/>
      <c r="N186" s="20">
        <f>IF(OR(E186="",M186="Entregue",M186="Cancelado",J186=""),"",IF(J186&lt;TODAY(),"ATRASADO",IF(J186=TODAY(),"ENTREGA HOJE","")))</f>
        <v/>
      </c>
    </row>
    <row r="187">
      <c r="A187" s="18" t="n"/>
      <c r="B187" s="19" t="n"/>
      <c r="C187" s="20" t="n"/>
      <c r="D187" s="20" t="n"/>
      <c r="E187" s="20" t="n"/>
      <c r="F187" s="18" t="n"/>
      <c r="G187" s="21">
        <f>IF(E187="","",IFERROR(VLOOKUP(E187,'Catálogo'!$A$5:$B$504,2,FALSE),0))</f>
        <v/>
      </c>
      <c r="H187" s="21" t="n"/>
      <c r="I187" s="21">
        <f>IF(E187="","",MAX(F187*G187-N(H187),0))</f>
        <v/>
      </c>
      <c r="J187" s="19" t="n"/>
      <c r="K187" s="20" t="n"/>
      <c r="L187" s="20" t="n"/>
      <c r="M187" s="20" t="n"/>
      <c r="N187" s="20">
        <f>IF(OR(E187="",M187="Entregue",M187="Cancelado",J187=""),"",IF(J187&lt;TODAY(),"ATRASADO",IF(J187=TODAY(),"ENTREGA HOJE","")))</f>
        <v/>
      </c>
    </row>
    <row r="188">
      <c r="A188" s="18" t="n"/>
      <c r="B188" s="19" t="n"/>
      <c r="C188" s="20" t="n"/>
      <c r="D188" s="20" t="n"/>
      <c r="E188" s="20" t="n"/>
      <c r="F188" s="18" t="n"/>
      <c r="G188" s="21">
        <f>IF(E188="","",IFERROR(VLOOKUP(E188,'Catálogo'!$A$5:$B$504,2,FALSE),0))</f>
        <v/>
      </c>
      <c r="H188" s="21" t="n"/>
      <c r="I188" s="21">
        <f>IF(E188="","",MAX(F188*G188-N(H188),0))</f>
        <v/>
      </c>
      <c r="J188" s="19" t="n"/>
      <c r="K188" s="20" t="n"/>
      <c r="L188" s="20" t="n"/>
      <c r="M188" s="20" t="n"/>
      <c r="N188" s="20">
        <f>IF(OR(E188="",M188="Entregue",M188="Cancelado",J188=""),"",IF(J188&lt;TODAY(),"ATRASADO",IF(J188=TODAY(),"ENTREGA HOJE","")))</f>
        <v/>
      </c>
    </row>
    <row r="189">
      <c r="A189" s="18" t="n"/>
      <c r="B189" s="19" t="n"/>
      <c r="C189" s="20" t="n"/>
      <c r="D189" s="20" t="n"/>
      <c r="E189" s="20" t="n"/>
      <c r="F189" s="18" t="n"/>
      <c r="G189" s="21">
        <f>IF(E189="","",IFERROR(VLOOKUP(E189,'Catálogo'!$A$5:$B$504,2,FALSE),0))</f>
        <v/>
      </c>
      <c r="H189" s="21" t="n"/>
      <c r="I189" s="21">
        <f>IF(E189="","",MAX(F189*G189-N(H189),0))</f>
        <v/>
      </c>
      <c r="J189" s="19" t="n"/>
      <c r="K189" s="20" t="n"/>
      <c r="L189" s="20" t="n"/>
      <c r="M189" s="20" t="n"/>
      <c r="N189" s="20">
        <f>IF(OR(E189="",M189="Entregue",M189="Cancelado",J189=""),"",IF(J189&lt;TODAY(),"ATRASADO",IF(J189=TODAY(),"ENTREGA HOJE","")))</f>
        <v/>
      </c>
    </row>
    <row r="190">
      <c r="A190" s="18" t="n"/>
      <c r="B190" s="19" t="n"/>
      <c r="C190" s="20" t="n"/>
      <c r="D190" s="20" t="n"/>
      <c r="E190" s="20" t="n"/>
      <c r="F190" s="18" t="n"/>
      <c r="G190" s="21">
        <f>IF(E190="","",IFERROR(VLOOKUP(E190,'Catálogo'!$A$5:$B$504,2,FALSE),0))</f>
        <v/>
      </c>
      <c r="H190" s="21" t="n"/>
      <c r="I190" s="21">
        <f>IF(E190="","",MAX(F190*G190-N(H190),0))</f>
        <v/>
      </c>
      <c r="J190" s="19" t="n"/>
      <c r="K190" s="20" t="n"/>
      <c r="L190" s="20" t="n"/>
      <c r="M190" s="20" t="n"/>
      <c r="N190" s="20">
        <f>IF(OR(E190="",M190="Entregue",M190="Cancelado",J190=""),"",IF(J190&lt;TODAY(),"ATRASADO",IF(J190=TODAY(),"ENTREGA HOJE","")))</f>
        <v/>
      </c>
    </row>
    <row r="191">
      <c r="A191" s="18" t="n"/>
      <c r="B191" s="19" t="n"/>
      <c r="C191" s="20" t="n"/>
      <c r="D191" s="20" t="n"/>
      <c r="E191" s="20" t="n"/>
      <c r="F191" s="18" t="n"/>
      <c r="G191" s="21">
        <f>IF(E191="","",IFERROR(VLOOKUP(E191,'Catálogo'!$A$5:$B$504,2,FALSE),0))</f>
        <v/>
      </c>
      <c r="H191" s="21" t="n"/>
      <c r="I191" s="21">
        <f>IF(E191="","",MAX(F191*G191-N(H191),0))</f>
        <v/>
      </c>
      <c r="J191" s="19" t="n"/>
      <c r="K191" s="20" t="n"/>
      <c r="L191" s="20" t="n"/>
      <c r="M191" s="20" t="n"/>
      <c r="N191" s="20">
        <f>IF(OR(E191="",M191="Entregue",M191="Cancelado",J191=""),"",IF(J191&lt;TODAY(),"ATRASADO",IF(J191=TODAY(),"ENTREGA HOJE","")))</f>
        <v/>
      </c>
    </row>
    <row r="192">
      <c r="A192" s="18" t="n"/>
      <c r="B192" s="19" t="n"/>
      <c r="C192" s="20" t="n"/>
      <c r="D192" s="20" t="n"/>
      <c r="E192" s="20" t="n"/>
      <c r="F192" s="18" t="n"/>
      <c r="G192" s="21">
        <f>IF(E192="","",IFERROR(VLOOKUP(E192,'Catálogo'!$A$5:$B$504,2,FALSE),0))</f>
        <v/>
      </c>
      <c r="H192" s="21" t="n"/>
      <c r="I192" s="21">
        <f>IF(E192="","",MAX(F192*G192-N(H192),0))</f>
        <v/>
      </c>
      <c r="J192" s="19" t="n"/>
      <c r="K192" s="20" t="n"/>
      <c r="L192" s="20" t="n"/>
      <c r="M192" s="20" t="n"/>
      <c r="N192" s="20">
        <f>IF(OR(E192="",M192="Entregue",M192="Cancelado",J192=""),"",IF(J192&lt;TODAY(),"ATRASADO",IF(J192=TODAY(),"ENTREGA HOJE","")))</f>
        <v/>
      </c>
    </row>
    <row r="193">
      <c r="A193" s="18" t="n"/>
      <c r="B193" s="19" t="n"/>
      <c r="C193" s="20" t="n"/>
      <c r="D193" s="20" t="n"/>
      <c r="E193" s="20" t="n"/>
      <c r="F193" s="18" t="n"/>
      <c r="G193" s="21">
        <f>IF(E193="","",IFERROR(VLOOKUP(E193,'Catálogo'!$A$5:$B$504,2,FALSE),0))</f>
        <v/>
      </c>
      <c r="H193" s="21" t="n"/>
      <c r="I193" s="21">
        <f>IF(E193="","",MAX(F193*G193-N(H193),0))</f>
        <v/>
      </c>
      <c r="J193" s="19" t="n"/>
      <c r="K193" s="20" t="n"/>
      <c r="L193" s="20" t="n"/>
      <c r="M193" s="20" t="n"/>
      <c r="N193" s="20">
        <f>IF(OR(E193="",M193="Entregue",M193="Cancelado",J193=""),"",IF(J193&lt;TODAY(),"ATRASADO",IF(J193=TODAY(),"ENTREGA HOJE","")))</f>
        <v/>
      </c>
    </row>
    <row r="194">
      <c r="A194" s="18" t="n"/>
      <c r="B194" s="19" t="n"/>
      <c r="C194" s="20" t="n"/>
      <c r="D194" s="20" t="n"/>
      <c r="E194" s="20" t="n"/>
      <c r="F194" s="18" t="n"/>
      <c r="G194" s="21">
        <f>IF(E194="","",IFERROR(VLOOKUP(E194,'Catálogo'!$A$5:$B$504,2,FALSE),0))</f>
        <v/>
      </c>
      <c r="H194" s="21" t="n"/>
      <c r="I194" s="21">
        <f>IF(E194="","",MAX(F194*G194-N(H194),0))</f>
        <v/>
      </c>
      <c r="J194" s="19" t="n"/>
      <c r="K194" s="20" t="n"/>
      <c r="L194" s="20" t="n"/>
      <c r="M194" s="20" t="n"/>
      <c r="N194" s="20">
        <f>IF(OR(E194="",M194="Entregue",M194="Cancelado",J194=""),"",IF(J194&lt;TODAY(),"ATRASADO",IF(J194=TODAY(),"ENTREGA HOJE","")))</f>
        <v/>
      </c>
    </row>
    <row r="195">
      <c r="A195" s="18" t="n"/>
      <c r="B195" s="19" t="n"/>
      <c r="C195" s="20" t="n"/>
      <c r="D195" s="20" t="n"/>
      <c r="E195" s="20" t="n"/>
      <c r="F195" s="18" t="n"/>
      <c r="G195" s="21">
        <f>IF(E195="","",IFERROR(VLOOKUP(E195,'Catálogo'!$A$5:$B$504,2,FALSE),0))</f>
        <v/>
      </c>
      <c r="H195" s="21" t="n"/>
      <c r="I195" s="21">
        <f>IF(E195="","",MAX(F195*G195-N(H195),0))</f>
        <v/>
      </c>
      <c r="J195" s="19" t="n"/>
      <c r="K195" s="20" t="n"/>
      <c r="L195" s="20" t="n"/>
      <c r="M195" s="20" t="n"/>
      <c r="N195" s="20">
        <f>IF(OR(E195="",M195="Entregue",M195="Cancelado",J195=""),"",IF(J195&lt;TODAY(),"ATRASADO",IF(J195=TODAY(),"ENTREGA HOJE","")))</f>
        <v/>
      </c>
    </row>
    <row r="196">
      <c r="A196" s="18" t="n"/>
      <c r="B196" s="19" t="n"/>
      <c r="C196" s="20" t="n"/>
      <c r="D196" s="20" t="n"/>
      <c r="E196" s="20" t="n"/>
      <c r="F196" s="18" t="n"/>
      <c r="G196" s="21">
        <f>IF(E196="","",IFERROR(VLOOKUP(E196,'Catálogo'!$A$5:$B$504,2,FALSE),0))</f>
        <v/>
      </c>
      <c r="H196" s="21" t="n"/>
      <c r="I196" s="21">
        <f>IF(E196="","",MAX(F196*G196-N(H196),0))</f>
        <v/>
      </c>
      <c r="J196" s="19" t="n"/>
      <c r="K196" s="20" t="n"/>
      <c r="L196" s="20" t="n"/>
      <c r="M196" s="20" t="n"/>
      <c r="N196" s="20">
        <f>IF(OR(E196="",M196="Entregue",M196="Cancelado",J196=""),"",IF(J196&lt;TODAY(),"ATRASADO",IF(J196=TODAY(),"ENTREGA HOJE","")))</f>
        <v/>
      </c>
    </row>
    <row r="197">
      <c r="A197" s="18" t="n"/>
      <c r="B197" s="19" t="n"/>
      <c r="C197" s="20" t="n"/>
      <c r="D197" s="20" t="n"/>
      <c r="E197" s="20" t="n"/>
      <c r="F197" s="18" t="n"/>
      <c r="G197" s="21">
        <f>IF(E197="","",IFERROR(VLOOKUP(E197,'Catálogo'!$A$5:$B$504,2,FALSE),0))</f>
        <v/>
      </c>
      <c r="H197" s="21" t="n"/>
      <c r="I197" s="21">
        <f>IF(E197="","",MAX(F197*G197-N(H197),0))</f>
        <v/>
      </c>
      <c r="J197" s="19" t="n"/>
      <c r="K197" s="20" t="n"/>
      <c r="L197" s="20" t="n"/>
      <c r="M197" s="20" t="n"/>
      <c r="N197" s="20">
        <f>IF(OR(E197="",M197="Entregue",M197="Cancelado",J197=""),"",IF(J197&lt;TODAY(),"ATRASADO",IF(J197=TODAY(),"ENTREGA HOJE","")))</f>
        <v/>
      </c>
    </row>
    <row r="198">
      <c r="A198" s="18" t="n"/>
      <c r="B198" s="19" t="n"/>
      <c r="C198" s="20" t="n"/>
      <c r="D198" s="20" t="n"/>
      <c r="E198" s="20" t="n"/>
      <c r="F198" s="18" t="n"/>
      <c r="G198" s="21">
        <f>IF(E198="","",IFERROR(VLOOKUP(E198,'Catálogo'!$A$5:$B$504,2,FALSE),0))</f>
        <v/>
      </c>
      <c r="H198" s="21" t="n"/>
      <c r="I198" s="21">
        <f>IF(E198="","",MAX(F198*G198-N(H198),0))</f>
        <v/>
      </c>
      <c r="J198" s="19" t="n"/>
      <c r="K198" s="20" t="n"/>
      <c r="L198" s="20" t="n"/>
      <c r="M198" s="20" t="n"/>
      <c r="N198" s="20">
        <f>IF(OR(E198="",M198="Entregue",M198="Cancelado",J198=""),"",IF(J198&lt;TODAY(),"ATRASADO",IF(J198=TODAY(),"ENTREGA HOJE","")))</f>
        <v/>
      </c>
    </row>
    <row r="199">
      <c r="A199" s="18" t="n"/>
      <c r="B199" s="19" t="n"/>
      <c r="C199" s="20" t="n"/>
      <c r="D199" s="20" t="n"/>
      <c r="E199" s="20" t="n"/>
      <c r="F199" s="18" t="n"/>
      <c r="G199" s="21">
        <f>IF(E199="","",IFERROR(VLOOKUP(E199,'Catálogo'!$A$5:$B$504,2,FALSE),0))</f>
        <v/>
      </c>
      <c r="H199" s="21" t="n"/>
      <c r="I199" s="21">
        <f>IF(E199="","",MAX(F199*G199-N(H199),0))</f>
        <v/>
      </c>
      <c r="J199" s="19" t="n"/>
      <c r="K199" s="20" t="n"/>
      <c r="L199" s="20" t="n"/>
      <c r="M199" s="20" t="n"/>
      <c r="N199" s="20">
        <f>IF(OR(E199="",M199="Entregue",M199="Cancelado",J199=""),"",IF(J199&lt;TODAY(),"ATRASADO",IF(J199=TODAY(),"ENTREGA HOJE","")))</f>
        <v/>
      </c>
    </row>
    <row r="200">
      <c r="A200" s="18" t="n"/>
      <c r="B200" s="19" t="n"/>
      <c r="C200" s="20" t="n"/>
      <c r="D200" s="20" t="n"/>
      <c r="E200" s="20" t="n"/>
      <c r="F200" s="18" t="n"/>
      <c r="G200" s="21">
        <f>IF(E200="","",IFERROR(VLOOKUP(E200,'Catálogo'!$A$5:$B$504,2,FALSE),0))</f>
        <v/>
      </c>
      <c r="H200" s="21" t="n"/>
      <c r="I200" s="21">
        <f>IF(E200="","",MAX(F200*G200-N(H200),0))</f>
        <v/>
      </c>
      <c r="J200" s="19" t="n"/>
      <c r="K200" s="20" t="n"/>
      <c r="L200" s="20" t="n"/>
      <c r="M200" s="20" t="n"/>
      <c r="N200" s="20">
        <f>IF(OR(E200="",M200="Entregue",M200="Cancelado",J200=""),"",IF(J200&lt;TODAY(),"ATRASADO",IF(J200=TODAY(),"ENTREGA HOJE","")))</f>
        <v/>
      </c>
    </row>
    <row r="201">
      <c r="A201" s="18" t="n"/>
      <c r="B201" s="19" t="n"/>
      <c r="C201" s="20" t="n"/>
      <c r="D201" s="20" t="n"/>
      <c r="E201" s="20" t="n"/>
      <c r="F201" s="18" t="n"/>
      <c r="G201" s="21">
        <f>IF(E201="","",IFERROR(VLOOKUP(E201,'Catálogo'!$A$5:$B$504,2,FALSE),0))</f>
        <v/>
      </c>
      <c r="H201" s="21" t="n"/>
      <c r="I201" s="21">
        <f>IF(E201="","",MAX(F201*G201-N(H201),0))</f>
        <v/>
      </c>
      <c r="J201" s="19" t="n"/>
      <c r="K201" s="20" t="n"/>
      <c r="L201" s="20" t="n"/>
      <c r="M201" s="20" t="n"/>
      <c r="N201" s="20">
        <f>IF(OR(E201="",M201="Entregue",M201="Cancelado",J201=""),"",IF(J201&lt;TODAY(),"ATRASADO",IF(J201=TODAY(),"ENTREGA HOJE","")))</f>
        <v/>
      </c>
    </row>
    <row r="202">
      <c r="A202" s="18" t="n"/>
      <c r="B202" s="19" t="n"/>
      <c r="C202" s="20" t="n"/>
      <c r="D202" s="20" t="n"/>
      <c r="E202" s="20" t="n"/>
      <c r="F202" s="18" t="n"/>
      <c r="G202" s="21">
        <f>IF(E202="","",IFERROR(VLOOKUP(E202,'Catálogo'!$A$5:$B$504,2,FALSE),0))</f>
        <v/>
      </c>
      <c r="H202" s="21" t="n"/>
      <c r="I202" s="21">
        <f>IF(E202="","",MAX(F202*G202-N(H202),0))</f>
        <v/>
      </c>
      <c r="J202" s="19" t="n"/>
      <c r="K202" s="20" t="n"/>
      <c r="L202" s="20" t="n"/>
      <c r="M202" s="20" t="n"/>
      <c r="N202" s="20">
        <f>IF(OR(E202="",M202="Entregue",M202="Cancelado",J202=""),"",IF(J202&lt;TODAY(),"ATRASADO",IF(J202=TODAY(),"ENTREGA HOJE","")))</f>
        <v/>
      </c>
    </row>
    <row r="203">
      <c r="A203" s="18" t="n"/>
      <c r="B203" s="19" t="n"/>
      <c r="C203" s="20" t="n"/>
      <c r="D203" s="20" t="n"/>
      <c r="E203" s="20" t="n"/>
      <c r="F203" s="18" t="n"/>
      <c r="G203" s="21">
        <f>IF(E203="","",IFERROR(VLOOKUP(E203,'Catálogo'!$A$5:$B$504,2,FALSE),0))</f>
        <v/>
      </c>
      <c r="H203" s="21" t="n"/>
      <c r="I203" s="21">
        <f>IF(E203="","",MAX(F203*G203-N(H203),0))</f>
        <v/>
      </c>
      <c r="J203" s="19" t="n"/>
      <c r="K203" s="20" t="n"/>
      <c r="L203" s="20" t="n"/>
      <c r="M203" s="20" t="n"/>
      <c r="N203" s="20">
        <f>IF(OR(E203="",M203="Entregue",M203="Cancelado",J203=""),"",IF(J203&lt;TODAY(),"ATRASADO",IF(J203=TODAY(),"ENTREGA HOJE","")))</f>
        <v/>
      </c>
    </row>
    <row r="204">
      <c r="A204" s="18" t="n"/>
      <c r="B204" s="19" t="n"/>
      <c r="C204" s="20" t="n"/>
      <c r="D204" s="20" t="n"/>
      <c r="E204" s="20" t="n"/>
      <c r="F204" s="18" t="n"/>
      <c r="G204" s="21">
        <f>IF(E204="","",IFERROR(VLOOKUP(E204,'Catálogo'!$A$5:$B$504,2,FALSE),0))</f>
        <v/>
      </c>
      <c r="H204" s="21" t="n"/>
      <c r="I204" s="21">
        <f>IF(E204="","",MAX(F204*G204-N(H204),0))</f>
        <v/>
      </c>
      <c r="J204" s="19" t="n"/>
      <c r="K204" s="20" t="n"/>
      <c r="L204" s="20" t="n"/>
      <c r="M204" s="20" t="n"/>
      <c r="N204" s="20">
        <f>IF(OR(E204="",M204="Entregue",M204="Cancelado",J204=""),"",IF(J204&lt;TODAY(),"ATRASADO",IF(J204=TODAY(),"ENTREGA HOJE","")))</f>
        <v/>
      </c>
    </row>
    <row r="205">
      <c r="A205" s="18" t="n"/>
      <c r="B205" s="19" t="n"/>
      <c r="C205" s="20" t="n"/>
      <c r="D205" s="20" t="n"/>
      <c r="E205" s="20" t="n"/>
      <c r="F205" s="18" t="n"/>
      <c r="G205" s="21">
        <f>IF(E205="","",IFERROR(VLOOKUP(E205,'Catálogo'!$A$5:$B$504,2,FALSE),0))</f>
        <v/>
      </c>
      <c r="H205" s="21" t="n"/>
      <c r="I205" s="21">
        <f>IF(E205="","",MAX(F205*G205-N(H205),0))</f>
        <v/>
      </c>
      <c r="J205" s="19" t="n"/>
      <c r="K205" s="20" t="n"/>
      <c r="L205" s="20" t="n"/>
      <c r="M205" s="20" t="n"/>
      <c r="N205" s="20">
        <f>IF(OR(E205="",M205="Entregue",M205="Cancelado",J205=""),"",IF(J205&lt;TODAY(),"ATRASADO",IF(J205=TODAY(),"ENTREGA HOJE","")))</f>
        <v/>
      </c>
    </row>
    <row r="206">
      <c r="A206" s="18" t="n"/>
      <c r="B206" s="19" t="n"/>
      <c r="C206" s="20" t="n"/>
      <c r="D206" s="20" t="n"/>
      <c r="E206" s="20" t="n"/>
      <c r="F206" s="18" t="n"/>
      <c r="G206" s="21">
        <f>IF(E206="","",IFERROR(VLOOKUP(E206,'Catálogo'!$A$5:$B$504,2,FALSE),0))</f>
        <v/>
      </c>
      <c r="H206" s="21" t="n"/>
      <c r="I206" s="21">
        <f>IF(E206="","",MAX(F206*G206-N(H206),0))</f>
        <v/>
      </c>
      <c r="J206" s="19" t="n"/>
      <c r="K206" s="20" t="n"/>
      <c r="L206" s="20" t="n"/>
      <c r="M206" s="20" t="n"/>
      <c r="N206" s="20">
        <f>IF(OR(E206="",M206="Entregue",M206="Cancelado",J206=""),"",IF(J206&lt;TODAY(),"ATRASADO",IF(J206=TODAY(),"ENTREGA HOJE","")))</f>
        <v/>
      </c>
    </row>
    <row r="207">
      <c r="A207" s="18" t="n"/>
      <c r="B207" s="19" t="n"/>
      <c r="C207" s="20" t="n"/>
      <c r="D207" s="20" t="n"/>
      <c r="E207" s="20" t="n"/>
      <c r="F207" s="18" t="n"/>
      <c r="G207" s="21">
        <f>IF(E207="","",IFERROR(VLOOKUP(E207,'Catálogo'!$A$5:$B$504,2,FALSE),0))</f>
        <v/>
      </c>
      <c r="H207" s="21" t="n"/>
      <c r="I207" s="21">
        <f>IF(E207="","",MAX(F207*G207-N(H207),0))</f>
        <v/>
      </c>
      <c r="J207" s="19" t="n"/>
      <c r="K207" s="20" t="n"/>
      <c r="L207" s="20" t="n"/>
      <c r="M207" s="20" t="n"/>
      <c r="N207" s="20">
        <f>IF(OR(E207="",M207="Entregue",M207="Cancelado",J207=""),"",IF(J207&lt;TODAY(),"ATRASADO",IF(J207=TODAY(),"ENTREGA HOJE","")))</f>
        <v/>
      </c>
    </row>
    <row r="208">
      <c r="A208" s="18" t="n"/>
      <c r="B208" s="19" t="n"/>
      <c r="C208" s="20" t="n"/>
      <c r="D208" s="20" t="n"/>
      <c r="E208" s="20" t="n"/>
      <c r="F208" s="18" t="n"/>
      <c r="G208" s="21">
        <f>IF(E208="","",IFERROR(VLOOKUP(E208,'Catálogo'!$A$5:$B$504,2,FALSE),0))</f>
        <v/>
      </c>
      <c r="H208" s="21" t="n"/>
      <c r="I208" s="21">
        <f>IF(E208="","",MAX(F208*G208-N(H208),0))</f>
        <v/>
      </c>
      <c r="J208" s="19" t="n"/>
      <c r="K208" s="20" t="n"/>
      <c r="L208" s="20" t="n"/>
      <c r="M208" s="20" t="n"/>
      <c r="N208" s="20">
        <f>IF(OR(E208="",M208="Entregue",M208="Cancelado",J208=""),"",IF(J208&lt;TODAY(),"ATRASADO",IF(J208=TODAY(),"ENTREGA HOJE","")))</f>
        <v/>
      </c>
    </row>
    <row r="209">
      <c r="A209" s="18" t="n"/>
      <c r="B209" s="19" t="n"/>
      <c r="C209" s="20" t="n"/>
      <c r="D209" s="20" t="n"/>
      <c r="E209" s="20" t="n"/>
      <c r="F209" s="18" t="n"/>
      <c r="G209" s="21">
        <f>IF(E209="","",IFERROR(VLOOKUP(E209,'Catálogo'!$A$5:$B$504,2,FALSE),0))</f>
        <v/>
      </c>
      <c r="H209" s="21" t="n"/>
      <c r="I209" s="21">
        <f>IF(E209="","",MAX(F209*G209-N(H209),0))</f>
        <v/>
      </c>
      <c r="J209" s="19" t="n"/>
      <c r="K209" s="20" t="n"/>
      <c r="L209" s="20" t="n"/>
      <c r="M209" s="20" t="n"/>
      <c r="N209" s="20">
        <f>IF(OR(E209="",M209="Entregue",M209="Cancelado",J209=""),"",IF(J209&lt;TODAY(),"ATRASADO",IF(J209=TODAY(),"ENTREGA HOJE","")))</f>
        <v/>
      </c>
    </row>
    <row r="210">
      <c r="A210" s="18" t="n"/>
      <c r="B210" s="19" t="n"/>
      <c r="C210" s="20" t="n"/>
      <c r="D210" s="20" t="n"/>
      <c r="E210" s="20" t="n"/>
      <c r="F210" s="18" t="n"/>
      <c r="G210" s="21">
        <f>IF(E210="","",IFERROR(VLOOKUP(E210,'Catálogo'!$A$5:$B$504,2,FALSE),0))</f>
        <v/>
      </c>
      <c r="H210" s="21" t="n"/>
      <c r="I210" s="21">
        <f>IF(E210="","",MAX(F210*G210-N(H210),0))</f>
        <v/>
      </c>
      <c r="J210" s="19" t="n"/>
      <c r="K210" s="20" t="n"/>
      <c r="L210" s="20" t="n"/>
      <c r="M210" s="20" t="n"/>
      <c r="N210" s="20">
        <f>IF(OR(E210="",M210="Entregue",M210="Cancelado",J210=""),"",IF(J210&lt;TODAY(),"ATRASADO",IF(J210=TODAY(),"ENTREGA HOJE","")))</f>
        <v/>
      </c>
    </row>
    <row r="211">
      <c r="A211" s="18" t="n"/>
      <c r="B211" s="19" t="n"/>
      <c r="C211" s="20" t="n"/>
      <c r="D211" s="20" t="n"/>
      <c r="E211" s="20" t="n"/>
      <c r="F211" s="18" t="n"/>
      <c r="G211" s="21">
        <f>IF(E211="","",IFERROR(VLOOKUP(E211,'Catálogo'!$A$5:$B$504,2,FALSE),0))</f>
        <v/>
      </c>
      <c r="H211" s="21" t="n"/>
      <c r="I211" s="21">
        <f>IF(E211="","",MAX(F211*G211-N(H211),0))</f>
        <v/>
      </c>
      <c r="J211" s="19" t="n"/>
      <c r="K211" s="20" t="n"/>
      <c r="L211" s="20" t="n"/>
      <c r="M211" s="20" t="n"/>
      <c r="N211" s="20">
        <f>IF(OR(E211="",M211="Entregue",M211="Cancelado",J211=""),"",IF(J211&lt;TODAY(),"ATRASADO",IF(J211=TODAY(),"ENTREGA HOJE","")))</f>
        <v/>
      </c>
    </row>
    <row r="212">
      <c r="A212" s="18" t="n"/>
      <c r="B212" s="19" t="n"/>
      <c r="C212" s="20" t="n"/>
      <c r="D212" s="20" t="n"/>
      <c r="E212" s="20" t="n"/>
      <c r="F212" s="18" t="n"/>
      <c r="G212" s="21">
        <f>IF(E212="","",IFERROR(VLOOKUP(E212,'Catálogo'!$A$5:$B$504,2,FALSE),0))</f>
        <v/>
      </c>
      <c r="H212" s="21" t="n"/>
      <c r="I212" s="21">
        <f>IF(E212="","",MAX(F212*G212-N(H212),0))</f>
        <v/>
      </c>
      <c r="J212" s="19" t="n"/>
      <c r="K212" s="20" t="n"/>
      <c r="L212" s="20" t="n"/>
      <c r="M212" s="20" t="n"/>
      <c r="N212" s="20">
        <f>IF(OR(E212="",M212="Entregue",M212="Cancelado",J212=""),"",IF(J212&lt;TODAY(),"ATRASADO",IF(J212=TODAY(),"ENTREGA HOJE","")))</f>
        <v/>
      </c>
    </row>
    <row r="213">
      <c r="A213" s="18" t="n"/>
      <c r="B213" s="19" t="n"/>
      <c r="C213" s="20" t="n"/>
      <c r="D213" s="20" t="n"/>
      <c r="E213" s="20" t="n"/>
      <c r="F213" s="18" t="n"/>
      <c r="G213" s="21">
        <f>IF(E213="","",IFERROR(VLOOKUP(E213,'Catálogo'!$A$5:$B$504,2,FALSE),0))</f>
        <v/>
      </c>
      <c r="H213" s="21" t="n"/>
      <c r="I213" s="21">
        <f>IF(E213="","",MAX(F213*G213-N(H213),0))</f>
        <v/>
      </c>
      <c r="J213" s="19" t="n"/>
      <c r="K213" s="20" t="n"/>
      <c r="L213" s="20" t="n"/>
      <c r="M213" s="20" t="n"/>
      <c r="N213" s="20">
        <f>IF(OR(E213="",M213="Entregue",M213="Cancelado",J213=""),"",IF(J213&lt;TODAY(),"ATRASADO",IF(J213=TODAY(),"ENTREGA HOJE","")))</f>
        <v/>
      </c>
    </row>
    <row r="214">
      <c r="A214" s="18" t="n"/>
      <c r="B214" s="19" t="n"/>
      <c r="C214" s="20" t="n"/>
      <c r="D214" s="20" t="n"/>
      <c r="E214" s="20" t="n"/>
      <c r="F214" s="18" t="n"/>
      <c r="G214" s="21">
        <f>IF(E214="","",IFERROR(VLOOKUP(E214,'Catálogo'!$A$5:$B$504,2,FALSE),0))</f>
        <v/>
      </c>
      <c r="H214" s="21" t="n"/>
      <c r="I214" s="21">
        <f>IF(E214="","",MAX(F214*G214-N(H214),0))</f>
        <v/>
      </c>
      <c r="J214" s="19" t="n"/>
      <c r="K214" s="20" t="n"/>
      <c r="L214" s="20" t="n"/>
      <c r="M214" s="20" t="n"/>
      <c r="N214" s="20">
        <f>IF(OR(E214="",M214="Entregue",M214="Cancelado",J214=""),"",IF(J214&lt;TODAY(),"ATRASADO",IF(J214=TODAY(),"ENTREGA HOJE","")))</f>
        <v/>
      </c>
    </row>
    <row r="215">
      <c r="A215" s="18" t="n"/>
      <c r="B215" s="19" t="n"/>
      <c r="C215" s="20" t="n"/>
      <c r="D215" s="20" t="n"/>
      <c r="E215" s="20" t="n"/>
      <c r="F215" s="18" t="n"/>
      <c r="G215" s="21">
        <f>IF(E215="","",IFERROR(VLOOKUP(E215,'Catálogo'!$A$5:$B$504,2,FALSE),0))</f>
        <v/>
      </c>
      <c r="H215" s="21" t="n"/>
      <c r="I215" s="21">
        <f>IF(E215="","",MAX(F215*G215-N(H215),0))</f>
        <v/>
      </c>
      <c r="J215" s="19" t="n"/>
      <c r="K215" s="20" t="n"/>
      <c r="L215" s="20" t="n"/>
      <c r="M215" s="20" t="n"/>
      <c r="N215" s="20">
        <f>IF(OR(E215="",M215="Entregue",M215="Cancelado",J215=""),"",IF(J215&lt;TODAY(),"ATRASADO",IF(J215=TODAY(),"ENTREGA HOJE","")))</f>
        <v/>
      </c>
    </row>
    <row r="216">
      <c r="A216" s="18" t="n"/>
      <c r="B216" s="19" t="n"/>
      <c r="C216" s="20" t="n"/>
      <c r="D216" s="20" t="n"/>
      <c r="E216" s="20" t="n"/>
      <c r="F216" s="18" t="n"/>
      <c r="G216" s="21">
        <f>IF(E216="","",IFERROR(VLOOKUP(E216,'Catálogo'!$A$5:$B$504,2,FALSE),0))</f>
        <v/>
      </c>
      <c r="H216" s="21" t="n"/>
      <c r="I216" s="21">
        <f>IF(E216="","",MAX(F216*G216-N(H216),0))</f>
        <v/>
      </c>
      <c r="J216" s="19" t="n"/>
      <c r="K216" s="20" t="n"/>
      <c r="L216" s="20" t="n"/>
      <c r="M216" s="20" t="n"/>
      <c r="N216" s="20">
        <f>IF(OR(E216="",M216="Entregue",M216="Cancelado",J216=""),"",IF(J216&lt;TODAY(),"ATRASADO",IF(J216=TODAY(),"ENTREGA HOJE","")))</f>
        <v/>
      </c>
    </row>
    <row r="217">
      <c r="A217" s="18" t="n"/>
      <c r="B217" s="19" t="n"/>
      <c r="C217" s="20" t="n"/>
      <c r="D217" s="20" t="n"/>
      <c r="E217" s="20" t="n"/>
      <c r="F217" s="18" t="n"/>
      <c r="G217" s="21">
        <f>IF(E217="","",IFERROR(VLOOKUP(E217,'Catálogo'!$A$5:$B$504,2,FALSE),0))</f>
        <v/>
      </c>
      <c r="H217" s="21" t="n"/>
      <c r="I217" s="21">
        <f>IF(E217="","",MAX(F217*G217-N(H217),0))</f>
        <v/>
      </c>
      <c r="J217" s="19" t="n"/>
      <c r="K217" s="20" t="n"/>
      <c r="L217" s="20" t="n"/>
      <c r="M217" s="20" t="n"/>
      <c r="N217" s="20">
        <f>IF(OR(E217="",M217="Entregue",M217="Cancelado",J217=""),"",IF(J217&lt;TODAY(),"ATRASADO",IF(J217=TODAY(),"ENTREGA HOJE","")))</f>
        <v/>
      </c>
    </row>
    <row r="218">
      <c r="A218" s="18" t="n"/>
      <c r="B218" s="19" t="n"/>
      <c r="C218" s="20" t="n"/>
      <c r="D218" s="20" t="n"/>
      <c r="E218" s="20" t="n"/>
      <c r="F218" s="18" t="n"/>
      <c r="G218" s="21">
        <f>IF(E218="","",IFERROR(VLOOKUP(E218,'Catálogo'!$A$5:$B$504,2,FALSE),0))</f>
        <v/>
      </c>
      <c r="H218" s="21" t="n"/>
      <c r="I218" s="21">
        <f>IF(E218="","",MAX(F218*G218-N(H218),0))</f>
        <v/>
      </c>
      <c r="J218" s="19" t="n"/>
      <c r="K218" s="20" t="n"/>
      <c r="L218" s="20" t="n"/>
      <c r="M218" s="20" t="n"/>
      <c r="N218" s="20">
        <f>IF(OR(E218="",M218="Entregue",M218="Cancelado",J218=""),"",IF(J218&lt;TODAY(),"ATRASADO",IF(J218=TODAY(),"ENTREGA HOJE","")))</f>
        <v/>
      </c>
    </row>
    <row r="219">
      <c r="A219" s="18" t="n"/>
      <c r="B219" s="19" t="n"/>
      <c r="C219" s="20" t="n"/>
      <c r="D219" s="20" t="n"/>
      <c r="E219" s="20" t="n"/>
      <c r="F219" s="18" t="n"/>
      <c r="G219" s="21">
        <f>IF(E219="","",IFERROR(VLOOKUP(E219,'Catálogo'!$A$5:$B$504,2,FALSE),0))</f>
        <v/>
      </c>
      <c r="H219" s="21" t="n"/>
      <c r="I219" s="21">
        <f>IF(E219="","",MAX(F219*G219-N(H219),0))</f>
        <v/>
      </c>
      <c r="J219" s="19" t="n"/>
      <c r="K219" s="20" t="n"/>
      <c r="L219" s="20" t="n"/>
      <c r="M219" s="20" t="n"/>
      <c r="N219" s="20">
        <f>IF(OR(E219="",M219="Entregue",M219="Cancelado",J219=""),"",IF(J219&lt;TODAY(),"ATRASADO",IF(J219=TODAY(),"ENTREGA HOJE","")))</f>
        <v/>
      </c>
    </row>
    <row r="220">
      <c r="A220" s="18" t="n"/>
      <c r="B220" s="19" t="n"/>
      <c r="C220" s="20" t="n"/>
      <c r="D220" s="20" t="n"/>
      <c r="E220" s="20" t="n"/>
      <c r="F220" s="18" t="n"/>
      <c r="G220" s="21">
        <f>IF(E220="","",IFERROR(VLOOKUP(E220,'Catálogo'!$A$5:$B$504,2,FALSE),0))</f>
        <v/>
      </c>
      <c r="H220" s="21" t="n"/>
      <c r="I220" s="21">
        <f>IF(E220="","",MAX(F220*G220-N(H220),0))</f>
        <v/>
      </c>
      <c r="J220" s="19" t="n"/>
      <c r="K220" s="20" t="n"/>
      <c r="L220" s="20" t="n"/>
      <c r="M220" s="20" t="n"/>
      <c r="N220" s="20">
        <f>IF(OR(E220="",M220="Entregue",M220="Cancelado",J220=""),"",IF(J220&lt;TODAY(),"ATRASADO",IF(J220=TODAY(),"ENTREGA HOJE","")))</f>
        <v/>
      </c>
    </row>
    <row r="221">
      <c r="A221" s="18" t="n"/>
      <c r="B221" s="19" t="n"/>
      <c r="C221" s="20" t="n"/>
      <c r="D221" s="20" t="n"/>
      <c r="E221" s="20" t="n"/>
      <c r="F221" s="18" t="n"/>
      <c r="G221" s="21">
        <f>IF(E221="","",IFERROR(VLOOKUP(E221,'Catálogo'!$A$5:$B$504,2,FALSE),0))</f>
        <v/>
      </c>
      <c r="H221" s="21" t="n"/>
      <c r="I221" s="21">
        <f>IF(E221="","",MAX(F221*G221-N(H221),0))</f>
        <v/>
      </c>
      <c r="J221" s="19" t="n"/>
      <c r="K221" s="20" t="n"/>
      <c r="L221" s="20" t="n"/>
      <c r="M221" s="20" t="n"/>
      <c r="N221" s="20">
        <f>IF(OR(E221="",M221="Entregue",M221="Cancelado",J221=""),"",IF(J221&lt;TODAY(),"ATRASADO",IF(J221=TODAY(),"ENTREGA HOJE","")))</f>
        <v/>
      </c>
    </row>
    <row r="222">
      <c r="A222" s="18" t="n"/>
      <c r="B222" s="19" t="n"/>
      <c r="C222" s="20" t="n"/>
      <c r="D222" s="20" t="n"/>
      <c r="E222" s="20" t="n"/>
      <c r="F222" s="18" t="n"/>
      <c r="G222" s="21">
        <f>IF(E222="","",IFERROR(VLOOKUP(E222,'Catálogo'!$A$5:$B$504,2,FALSE),0))</f>
        <v/>
      </c>
      <c r="H222" s="21" t="n"/>
      <c r="I222" s="21">
        <f>IF(E222="","",MAX(F222*G222-N(H222),0))</f>
        <v/>
      </c>
      <c r="J222" s="19" t="n"/>
      <c r="K222" s="20" t="n"/>
      <c r="L222" s="20" t="n"/>
      <c r="M222" s="20" t="n"/>
      <c r="N222" s="20">
        <f>IF(OR(E222="",M222="Entregue",M222="Cancelado",J222=""),"",IF(J222&lt;TODAY(),"ATRASADO",IF(J222=TODAY(),"ENTREGA HOJE","")))</f>
        <v/>
      </c>
    </row>
    <row r="223">
      <c r="A223" s="18" t="n"/>
      <c r="B223" s="19" t="n"/>
      <c r="C223" s="20" t="n"/>
      <c r="D223" s="20" t="n"/>
      <c r="E223" s="20" t="n"/>
      <c r="F223" s="18" t="n"/>
      <c r="G223" s="21">
        <f>IF(E223="","",IFERROR(VLOOKUP(E223,'Catálogo'!$A$5:$B$504,2,FALSE),0))</f>
        <v/>
      </c>
      <c r="H223" s="21" t="n"/>
      <c r="I223" s="21">
        <f>IF(E223="","",MAX(F223*G223-N(H223),0))</f>
        <v/>
      </c>
      <c r="J223" s="19" t="n"/>
      <c r="K223" s="20" t="n"/>
      <c r="L223" s="20" t="n"/>
      <c r="M223" s="20" t="n"/>
      <c r="N223" s="20">
        <f>IF(OR(E223="",M223="Entregue",M223="Cancelado",J223=""),"",IF(J223&lt;TODAY(),"ATRASADO",IF(J223=TODAY(),"ENTREGA HOJE","")))</f>
        <v/>
      </c>
    </row>
    <row r="224">
      <c r="A224" s="18" t="n"/>
      <c r="B224" s="19" t="n"/>
      <c r="C224" s="20" t="n"/>
      <c r="D224" s="20" t="n"/>
      <c r="E224" s="20" t="n"/>
      <c r="F224" s="18" t="n"/>
      <c r="G224" s="21">
        <f>IF(E224="","",IFERROR(VLOOKUP(E224,'Catálogo'!$A$5:$B$504,2,FALSE),0))</f>
        <v/>
      </c>
      <c r="H224" s="21" t="n"/>
      <c r="I224" s="21">
        <f>IF(E224="","",MAX(F224*G224-N(H224),0))</f>
        <v/>
      </c>
      <c r="J224" s="19" t="n"/>
      <c r="K224" s="20" t="n"/>
      <c r="L224" s="20" t="n"/>
      <c r="M224" s="20" t="n"/>
      <c r="N224" s="20">
        <f>IF(OR(E224="",M224="Entregue",M224="Cancelado",J224=""),"",IF(J224&lt;TODAY(),"ATRASADO",IF(J224=TODAY(),"ENTREGA HOJE","")))</f>
        <v/>
      </c>
    </row>
    <row r="225">
      <c r="A225" s="18" t="n"/>
      <c r="B225" s="19" t="n"/>
      <c r="C225" s="20" t="n"/>
      <c r="D225" s="20" t="n"/>
      <c r="E225" s="20" t="n"/>
      <c r="F225" s="18" t="n"/>
      <c r="G225" s="21">
        <f>IF(E225="","",IFERROR(VLOOKUP(E225,'Catálogo'!$A$5:$B$504,2,FALSE),0))</f>
        <v/>
      </c>
      <c r="H225" s="21" t="n"/>
      <c r="I225" s="21">
        <f>IF(E225="","",MAX(F225*G225-N(H225),0))</f>
        <v/>
      </c>
      <c r="J225" s="19" t="n"/>
      <c r="K225" s="20" t="n"/>
      <c r="L225" s="20" t="n"/>
      <c r="M225" s="20" t="n"/>
      <c r="N225" s="20">
        <f>IF(OR(E225="",M225="Entregue",M225="Cancelado",J225=""),"",IF(J225&lt;TODAY(),"ATRASADO",IF(J225=TODAY(),"ENTREGA HOJE","")))</f>
        <v/>
      </c>
    </row>
    <row r="226">
      <c r="A226" s="18" t="n"/>
      <c r="B226" s="19" t="n"/>
      <c r="C226" s="20" t="n"/>
      <c r="D226" s="20" t="n"/>
      <c r="E226" s="20" t="n"/>
      <c r="F226" s="18" t="n"/>
      <c r="G226" s="21">
        <f>IF(E226="","",IFERROR(VLOOKUP(E226,'Catálogo'!$A$5:$B$504,2,FALSE),0))</f>
        <v/>
      </c>
      <c r="H226" s="21" t="n"/>
      <c r="I226" s="21">
        <f>IF(E226="","",MAX(F226*G226-N(H226),0))</f>
        <v/>
      </c>
      <c r="J226" s="19" t="n"/>
      <c r="K226" s="20" t="n"/>
      <c r="L226" s="20" t="n"/>
      <c r="M226" s="20" t="n"/>
      <c r="N226" s="20">
        <f>IF(OR(E226="",M226="Entregue",M226="Cancelado",J226=""),"",IF(J226&lt;TODAY(),"ATRASADO",IF(J226=TODAY(),"ENTREGA HOJE","")))</f>
        <v/>
      </c>
    </row>
    <row r="227">
      <c r="A227" s="18" t="n"/>
      <c r="B227" s="19" t="n"/>
      <c r="C227" s="20" t="n"/>
      <c r="D227" s="20" t="n"/>
      <c r="E227" s="20" t="n"/>
      <c r="F227" s="18" t="n"/>
      <c r="G227" s="21">
        <f>IF(E227="","",IFERROR(VLOOKUP(E227,'Catálogo'!$A$5:$B$504,2,FALSE),0))</f>
        <v/>
      </c>
      <c r="H227" s="21" t="n"/>
      <c r="I227" s="21">
        <f>IF(E227="","",MAX(F227*G227-N(H227),0))</f>
        <v/>
      </c>
      <c r="J227" s="19" t="n"/>
      <c r="K227" s="20" t="n"/>
      <c r="L227" s="20" t="n"/>
      <c r="M227" s="20" t="n"/>
      <c r="N227" s="20">
        <f>IF(OR(E227="",M227="Entregue",M227="Cancelado",J227=""),"",IF(J227&lt;TODAY(),"ATRASADO",IF(J227=TODAY(),"ENTREGA HOJE","")))</f>
        <v/>
      </c>
    </row>
    <row r="228">
      <c r="A228" s="18" t="n"/>
      <c r="B228" s="19" t="n"/>
      <c r="C228" s="20" t="n"/>
      <c r="D228" s="20" t="n"/>
      <c r="E228" s="20" t="n"/>
      <c r="F228" s="18" t="n"/>
      <c r="G228" s="21">
        <f>IF(E228="","",IFERROR(VLOOKUP(E228,'Catálogo'!$A$5:$B$504,2,FALSE),0))</f>
        <v/>
      </c>
      <c r="H228" s="21" t="n"/>
      <c r="I228" s="21">
        <f>IF(E228="","",MAX(F228*G228-N(H228),0))</f>
        <v/>
      </c>
      <c r="J228" s="19" t="n"/>
      <c r="K228" s="20" t="n"/>
      <c r="L228" s="20" t="n"/>
      <c r="M228" s="20" t="n"/>
      <c r="N228" s="20">
        <f>IF(OR(E228="",M228="Entregue",M228="Cancelado",J228=""),"",IF(J228&lt;TODAY(),"ATRASADO",IF(J228=TODAY(),"ENTREGA HOJE","")))</f>
        <v/>
      </c>
    </row>
    <row r="229">
      <c r="A229" s="18" t="n"/>
      <c r="B229" s="19" t="n"/>
      <c r="C229" s="20" t="n"/>
      <c r="D229" s="20" t="n"/>
      <c r="E229" s="20" t="n"/>
      <c r="F229" s="18" t="n"/>
      <c r="G229" s="21">
        <f>IF(E229="","",IFERROR(VLOOKUP(E229,'Catálogo'!$A$5:$B$504,2,FALSE),0))</f>
        <v/>
      </c>
      <c r="H229" s="21" t="n"/>
      <c r="I229" s="21">
        <f>IF(E229="","",MAX(F229*G229-N(H229),0))</f>
        <v/>
      </c>
      <c r="J229" s="19" t="n"/>
      <c r="K229" s="20" t="n"/>
      <c r="L229" s="20" t="n"/>
      <c r="M229" s="20" t="n"/>
      <c r="N229" s="20">
        <f>IF(OR(E229="",M229="Entregue",M229="Cancelado",J229=""),"",IF(J229&lt;TODAY(),"ATRASADO",IF(J229=TODAY(),"ENTREGA HOJE","")))</f>
        <v/>
      </c>
    </row>
    <row r="230">
      <c r="A230" s="18" t="n"/>
      <c r="B230" s="19" t="n"/>
      <c r="C230" s="20" t="n"/>
      <c r="D230" s="20" t="n"/>
      <c r="E230" s="20" t="n"/>
      <c r="F230" s="18" t="n"/>
      <c r="G230" s="21">
        <f>IF(E230="","",IFERROR(VLOOKUP(E230,'Catálogo'!$A$5:$B$504,2,FALSE),0))</f>
        <v/>
      </c>
      <c r="H230" s="21" t="n"/>
      <c r="I230" s="21">
        <f>IF(E230="","",MAX(F230*G230-N(H230),0))</f>
        <v/>
      </c>
      <c r="J230" s="19" t="n"/>
      <c r="K230" s="20" t="n"/>
      <c r="L230" s="20" t="n"/>
      <c r="M230" s="20" t="n"/>
      <c r="N230" s="20">
        <f>IF(OR(E230="",M230="Entregue",M230="Cancelado",J230=""),"",IF(J230&lt;TODAY(),"ATRASADO",IF(J230=TODAY(),"ENTREGA HOJE","")))</f>
        <v/>
      </c>
    </row>
    <row r="231">
      <c r="A231" s="18" t="n"/>
      <c r="B231" s="19" t="n"/>
      <c r="C231" s="20" t="n"/>
      <c r="D231" s="20" t="n"/>
      <c r="E231" s="20" t="n"/>
      <c r="F231" s="18" t="n"/>
      <c r="G231" s="21">
        <f>IF(E231="","",IFERROR(VLOOKUP(E231,'Catálogo'!$A$5:$B$504,2,FALSE),0))</f>
        <v/>
      </c>
      <c r="H231" s="21" t="n"/>
      <c r="I231" s="21">
        <f>IF(E231="","",MAX(F231*G231-N(H231),0))</f>
        <v/>
      </c>
      <c r="J231" s="19" t="n"/>
      <c r="K231" s="20" t="n"/>
      <c r="L231" s="20" t="n"/>
      <c r="M231" s="20" t="n"/>
      <c r="N231" s="20">
        <f>IF(OR(E231="",M231="Entregue",M231="Cancelado",J231=""),"",IF(J231&lt;TODAY(),"ATRASADO",IF(J231=TODAY(),"ENTREGA HOJE","")))</f>
        <v/>
      </c>
    </row>
    <row r="232">
      <c r="A232" s="18" t="n"/>
      <c r="B232" s="19" t="n"/>
      <c r="C232" s="20" t="n"/>
      <c r="D232" s="20" t="n"/>
      <c r="E232" s="20" t="n"/>
      <c r="F232" s="18" t="n"/>
      <c r="G232" s="21">
        <f>IF(E232="","",IFERROR(VLOOKUP(E232,'Catálogo'!$A$5:$B$504,2,FALSE),0))</f>
        <v/>
      </c>
      <c r="H232" s="21" t="n"/>
      <c r="I232" s="21">
        <f>IF(E232="","",MAX(F232*G232-N(H232),0))</f>
        <v/>
      </c>
      <c r="J232" s="19" t="n"/>
      <c r="K232" s="20" t="n"/>
      <c r="L232" s="20" t="n"/>
      <c r="M232" s="20" t="n"/>
      <c r="N232" s="20">
        <f>IF(OR(E232="",M232="Entregue",M232="Cancelado",J232=""),"",IF(J232&lt;TODAY(),"ATRASADO",IF(J232=TODAY(),"ENTREGA HOJE","")))</f>
        <v/>
      </c>
    </row>
    <row r="233">
      <c r="A233" s="18" t="n"/>
      <c r="B233" s="19" t="n"/>
      <c r="C233" s="20" t="n"/>
      <c r="D233" s="20" t="n"/>
      <c r="E233" s="20" t="n"/>
      <c r="F233" s="18" t="n"/>
      <c r="G233" s="21">
        <f>IF(E233="","",IFERROR(VLOOKUP(E233,'Catálogo'!$A$5:$B$504,2,FALSE),0))</f>
        <v/>
      </c>
      <c r="H233" s="21" t="n"/>
      <c r="I233" s="21">
        <f>IF(E233="","",MAX(F233*G233-N(H233),0))</f>
        <v/>
      </c>
      <c r="J233" s="19" t="n"/>
      <c r="K233" s="20" t="n"/>
      <c r="L233" s="20" t="n"/>
      <c r="M233" s="20" t="n"/>
      <c r="N233" s="20">
        <f>IF(OR(E233="",M233="Entregue",M233="Cancelado",J233=""),"",IF(J233&lt;TODAY(),"ATRASADO",IF(J233=TODAY(),"ENTREGA HOJE","")))</f>
        <v/>
      </c>
    </row>
    <row r="234">
      <c r="A234" s="18" t="n"/>
      <c r="B234" s="19" t="n"/>
      <c r="C234" s="20" t="n"/>
      <c r="D234" s="20" t="n"/>
      <c r="E234" s="20" t="n"/>
      <c r="F234" s="18" t="n"/>
      <c r="G234" s="21">
        <f>IF(E234="","",IFERROR(VLOOKUP(E234,'Catálogo'!$A$5:$B$504,2,FALSE),0))</f>
        <v/>
      </c>
      <c r="H234" s="21" t="n"/>
      <c r="I234" s="21">
        <f>IF(E234="","",MAX(F234*G234-N(H234),0))</f>
        <v/>
      </c>
      <c r="J234" s="19" t="n"/>
      <c r="K234" s="20" t="n"/>
      <c r="L234" s="20" t="n"/>
      <c r="M234" s="20" t="n"/>
      <c r="N234" s="20">
        <f>IF(OR(E234="",M234="Entregue",M234="Cancelado",J234=""),"",IF(J234&lt;TODAY(),"ATRASADO",IF(J234=TODAY(),"ENTREGA HOJE","")))</f>
        <v/>
      </c>
    </row>
    <row r="235">
      <c r="A235" s="18" t="n"/>
      <c r="B235" s="19" t="n"/>
      <c r="C235" s="20" t="n"/>
      <c r="D235" s="20" t="n"/>
      <c r="E235" s="20" t="n"/>
      <c r="F235" s="18" t="n"/>
      <c r="G235" s="21">
        <f>IF(E235="","",IFERROR(VLOOKUP(E235,'Catálogo'!$A$5:$B$504,2,FALSE),0))</f>
        <v/>
      </c>
      <c r="H235" s="21" t="n"/>
      <c r="I235" s="21">
        <f>IF(E235="","",MAX(F235*G235-N(H235),0))</f>
        <v/>
      </c>
      <c r="J235" s="19" t="n"/>
      <c r="K235" s="20" t="n"/>
      <c r="L235" s="20" t="n"/>
      <c r="M235" s="20" t="n"/>
      <c r="N235" s="20">
        <f>IF(OR(E235="",M235="Entregue",M235="Cancelado",J235=""),"",IF(J235&lt;TODAY(),"ATRASADO",IF(J235=TODAY(),"ENTREGA HOJE","")))</f>
        <v/>
      </c>
    </row>
    <row r="236">
      <c r="A236" s="18" t="n"/>
      <c r="B236" s="19" t="n"/>
      <c r="C236" s="20" t="n"/>
      <c r="D236" s="20" t="n"/>
      <c r="E236" s="20" t="n"/>
      <c r="F236" s="18" t="n"/>
      <c r="G236" s="21">
        <f>IF(E236="","",IFERROR(VLOOKUP(E236,'Catálogo'!$A$5:$B$504,2,FALSE),0))</f>
        <v/>
      </c>
      <c r="H236" s="21" t="n"/>
      <c r="I236" s="21">
        <f>IF(E236="","",MAX(F236*G236-N(H236),0))</f>
        <v/>
      </c>
      <c r="J236" s="19" t="n"/>
      <c r="K236" s="20" t="n"/>
      <c r="L236" s="20" t="n"/>
      <c r="M236" s="20" t="n"/>
      <c r="N236" s="20">
        <f>IF(OR(E236="",M236="Entregue",M236="Cancelado",J236=""),"",IF(J236&lt;TODAY(),"ATRASADO",IF(J236=TODAY(),"ENTREGA HOJE","")))</f>
        <v/>
      </c>
    </row>
    <row r="237">
      <c r="A237" s="18" t="n"/>
      <c r="B237" s="19" t="n"/>
      <c r="C237" s="20" t="n"/>
      <c r="D237" s="20" t="n"/>
      <c r="E237" s="20" t="n"/>
      <c r="F237" s="18" t="n"/>
      <c r="G237" s="21">
        <f>IF(E237="","",IFERROR(VLOOKUP(E237,'Catálogo'!$A$5:$B$504,2,FALSE),0))</f>
        <v/>
      </c>
      <c r="H237" s="21" t="n"/>
      <c r="I237" s="21">
        <f>IF(E237="","",MAX(F237*G237-N(H237),0))</f>
        <v/>
      </c>
      <c r="J237" s="19" t="n"/>
      <c r="K237" s="20" t="n"/>
      <c r="L237" s="20" t="n"/>
      <c r="M237" s="20" t="n"/>
      <c r="N237" s="20">
        <f>IF(OR(E237="",M237="Entregue",M237="Cancelado",J237=""),"",IF(J237&lt;TODAY(),"ATRASADO",IF(J237=TODAY(),"ENTREGA HOJE","")))</f>
        <v/>
      </c>
    </row>
    <row r="238">
      <c r="A238" s="18" t="n"/>
      <c r="B238" s="19" t="n"/>
      <c r="C238" s="20" t="n"/>
      <c r="D238" s="20" t="n"/>
      <c r="E238" s="20" t="n"/>
      <c r="F238" s="18" t="n"/>
      <c r="G238" s="21">
        <f>IF(E238="","",IFERROR(VLOOKUP(E238,'Catálogo'!$A$5:$B$504,2,FALSE),0))</f>
        <v/>
      </c>
      <c r="H238" s="21" t="n"/>
      <c r="I238" s="21">
        <f>IF(E238="","",MAX(F238*G238-N(H238),0))</f>
        <v/>
      </c>
      <c r="J238" s="19" t="n"/>
      <c r="K238" s="20" t="n"/>
      <c r="L238" s="20" t="n"/>
      <c r="M238" s="20" t="n"/>
      <c r="N238" s="20">
        <f>IF(OR(E238="",M238="Entregue",M238="Cancelado",J238=""),"",IF(J238&lt;TODAY(),"ATRASADO",IF(J238=TODAY(),"ENTREGA HOJE","")))</f>
        <v/>
      </c>
    </row>
    <row r="239">
      <c r="A239" s="18" t="n"/>
      <c r="B239" s="19" t="n"/>
      <c r="C239" s="20" t="n"/>
      <c r="D239" s="20" t="n"/>
      <c r="E239" s="20" t="n"/>
      <c r="F239" s="18" t="n"/>
      <c r="G239" s="21">
        <f>IF(E239="","",IFERROR(VLOOKUP(E239,'Catálogo'!$A$5:$B$504,2,FALSE),0))</f>
        <v/>
      </c>
      <c r="H239" s="21" t="n"/>
      <c r="I239" s="21">
        <f>IF(E239="","",MAX(F239*G239-N(H239),0))</f>
        <v/>
      </c>
      <c r="J239" s="19" t="n"/>
      <c r="K239" s="20" t="n"/>
      <c r="L239" s="20" t="n"/>
      <c r="M239" s="20" t="n"/>
      <c r="N239" s="20">
        <f>IF(OR(E239="",M239="Entregue",M239="Cancelado",J239=""),"",IF(J239&lt;TODAY(),"ATRASADO",IF(J239=TODAY(),"ENTREGA HOJE","")))</f>
        <v/>
      </c>
    </row>
    <row r="240">
      <c r="A240" s="18" t="n"/>
      <c r="B240" s="19" t="n"/>
      <c r="C240" s="20" t="n"/>
      <c r="D240" s="20" t="n"/>
      <c r="E240" s="20" t="n"/>
      <c r="F240" s="18" t="n"/>
      <c r="G240" s="21">
        <f>IF(E240="","",IFERROR(VLOOKUP(E240,'Catálogo'!$A$5:$B$504,2,FALSE),0))</f>
        <v/>
      </c>
      <c r="H240" s="21" t="n"/>
      <c r="I240" s="21">
        <f>IF(E240="","",MAX(F240*G240-N(H240),0))</f>
        <v/>
      </c>
      <c r="J240" s="19" t="n"/>
      <c r="K240" s="20" t="n"/>
      <c r="L240" s="20" t="n"/>
      <c r="M240" s="20" t="n"/>
      <c r="N240" s="20">
        <f>IF(OR(E240="",M240="Entregue",M240="Cancelado",J240=""),"",IF(J240&lt;TODAY(),"ATRASADO",IF(J240=TODAY(),"ENTREGA HOJE","")))</f>
        <v/>
      </c>
    </row>
    <row r="241">
      <c r="A241" s="18" t="n"/>
      <c r="B241" s="19" t="n"/>
      <c r="C241" s="20" t="n"/>
      <c r="D241" s="20" t="n"/>
      <c r="E241" s="20" t="n"/>
      <c r="F241" s="18" t="n"/>
      <c r="G241" s="21">
        <f>IF(E241="","",IFERROR(VLOOKUP(E241,'Catálogo'!$A$5:$B$504,2,FALSE),0))</f>
        <v/>
      </c>
      <c r="H241" s="21" t="n"/>
      <c r="I241" s="21">
        <f>IF(E241="","",MAX(F241*G241-N(H241),0))</f>
        <v/>
      </c>
      <c r="J241" s="19" t="n"/>
      <c r="K241" s="20" t="n"/>
      <c r="L241" s="20" t="n"/>
      <c r="M241" s="20" t="n"/>
      <c r="N241" s="20">
        <f>IF(OR(E241="",M241="Entregue",M241="Cancelado",J241=""),"",IF(J241&lt;TODAY(),"ATRASADO",IF(J241=TODAY(),"ENTREGA HOJE","")))</f>
        <v/>
      </c>
    </row>
    <row r="242">
      <c r="A242" s="18" t="n"/>
      <c r="B242" s="19" t="n"/>
      <c r="C242" s="20" t="n"/>
      <c r="D242" s="20" t="n"/>
      <c r="E242" s="20" t="n"/>
      <c r="F242" s="18" t="n"/>
      <c r="G242" s="21">
        <f>IF(E242="","",IFERROR(VLOOKUP(E242,'Catálogo'!$A$5:$B$504,2,FALSE),0))</f>
        <v/>
      </c>
      <c r="H242" s="21" t="n"/>
      <c r="I242" s="21">
        <f>IF(E242="","",MAX(F242*G242-N(H242),0))</f>
        <v/>
      </c>
      <c r="J242" s="19" t="n"/>
      <c r="K242" s="20" t="n"/>
      <c r="L242" s="20" t="n"/>
      <c r="M242" s="20" t="n"/>
      <c r="N242" s="20">
        <f>IF(OR(E242="",M242="Entregue",M242="Cancelado",J242=""),"",IF(J242&lt;TODAY(),"ATRASADO",IF(J242=TODAY(),"ENTREGA HOJE","")))</f>
        <v/>
      </c>
    </row>
    <row r="243">
      <c r="A243" s="18" t="n"/>
      <c r="B243" s="19" t="n"/>
      <c r="C243" s="20" t="n"/>
      <c r="D243" s="20" t="n"/>
      <c r="E243" s="20" t="n"/>
      <c r="F243" s="18" t="n"/>
      <c r="G243" s="21">
        <f>IF(E243="","",IFERROR(VLOOKUP(E243,'Catálogo'!$A$5:$B$504,2,FALSE),0))</f>
        <v/>
      </c>
      <c r="H243" s="21" t="n"/>
      <c r="I243" s="21">
        <f>IF(E243="","",MAX(F243*G243-N(H243),0))</f>
        <v/>
      </c>
      <c r="J243" s="19" t="n"/>
      <c r="K243" s="20" t="n"/>
      <c r="L243" s="20" t="n"/>
      <c r="M243" s="20" t="n"/>
      <c r="N243" s="20">
        <f>IF(OR(E243="",M243="Entregue",M243="Cancelado",J243=""),"",IF(J243&lt;TODAY(),"ATRASADO",IF(J243=TODAY(),"ENTREGA HOJE","")))</f>
        <v/>
      </c>
    </row>
    <row r="244">
      <c r="A244" s="18" t="n"/>
      <c r="B244" s="19" t="n"/>
      <c r="C244" s="20" t="n"/>
      <c r="D244" s="20" t="n"/>
      <c r="E244" s="20" t="n"/>
      <c r="F244" s="18" t="n"/>
      <c r="G244" s="21">
        <f>IF(E244="","",IFERROR(VLOOKUP(E244,'Catálogo'!$A$5:$B$504,2,FALSE),0))</f>
        <v/>
      </c>
      <c r="H244" s="21" t="n"/>
      <c r="I244" s="21">
        <f>IF(E244="","",MAX(F244*G244-N(H244),0))</f>
        <v/>
      </c>
      <c r="J244" s="19" t="n"/>
      <c r="K244" s="20" t="n"/>
      <c r="L244" s="20" t="n"/>
      <c r="M244" s="20" t="n"/>
      <c r="N244" s="20">
        <f>IF(OR(E244="",M244="Entregue",M244="Cancelado",J244=""),"",IF(J244&lt;TODAY(),"ATRASADO",IF(J244=TODAY(),"ENTREGA HOJE","")))</f>
        <v/>
      </c>
    </row>
    <row r="245">
      <c r="A245" s="18" t="n"/>
      <c r="B245" s="19" t="n"/>
      <c r="C245" s="20" t="n"/>
      <c r="D245" s="20" t="n"/>
      <c r="E245" s="20" t="n"/>
      <c r="F245" s="18" t="n"/>
      <c r="G245" s="21">
        <f>IF(E245="","",IFERROR(VLOOKUP(E245,'Catálogo'!$A$5:$B$504,2,FALSE),0))</f>
        <v/>
      </c>
      <c r="H245" s="21" t="n"/>
      <c r="I245" s="21">
        <f>IF(E245="","",MAX(F245*G245-N(H245),0))</f>
        <v/>
      </c>
      <c r="J245" s="19" t="n"/>
      <c r="K245" s="20" t="n"/>
      <c r="L245" s="20" t="n"/>
      <c r="M245" s="20" t="n"/>
      <c r="N245" s="20">
        <f>IF(OR(E245="",M245="Entregue",M245="Cancelado",J245=""),"",IF(J245&lt;TODAY(),"ATRASADO",IF(J245=TODAY(),"ENTREGA HOJE","")))</f>
        <v/>
      </c>
    </row>
    <row r="246">
      <c r="A246" s="18" t="n"/>
      <c r="B246" s="19" t="n"/>
      <c r="C246" s="20" t="n"/>
      <c r="D246" s="20" t="n"/>
      <c r="E246" s="20" t="n"/>
      <c r="F246" s="18" t="n"/>
      <c r="G246" s="21">
        <f>IF(E246="","",IFERROR(VLOOKUP(E246,'Catálogo'!$A$5:$B$504,2,FALSE),0))</f>
        <v/>
      </c>
      <c r="H246" s="21" t="n"/>
      <c r="I246" s="21">
        <f>IF(E246="","",MAX(F246*G246-N(H246),0))</f>
        <v/>
      </c>
      <c r="J246" s="19" t="n"/>
      <c r="K246" s="20" t="n"/>
      <c r="L246" s="20" t="n"/>
      <c r="M246" s="20" t="n"/>
      <c r="N246" s="20">
        <f>IF(OR(E246="",M246="Entregue",M246="Cancelado",J246=""),"",IF(J246&lt;TODAY(),"ATRASADO",IF(J246=TODAY(),"ENTREGA HOJE","")))</f>
        <v/>
      </c>
    </row>
    <row r="247">
      <c r="A247" s="18" t="n"/>
      <c r="B247" s="19" t="n"/>
      <c r="C247" s="20" t="n"/>
      <c r="D247" s="20" t="n"/>
      <c r="E247" s="20" t="n"/>
      <c r="F247" s="18" t="n"/>
      <c r="G247" s="21">
        <f>IF(E247="","",IFERROR(VLOOKUP(E247,'Catálogo'!$A$5:$B$504,2,FALSE),0))</f>
        <v/>
      </c>
      <c r="H247" s="21" t="n"/>
      <c r="I247" s="21">
        <f>IF(E247="","",MAX(F247*G247-N(H247),0))</f>
        <v/>
      </c>
      <c r="J247" s="19" t="n"/>
      <c r="K247" s="20" t="n"/>
      <c r="L247" s="20" t="n"/>
      <c r="M247" s="20" t="n"/>
      <c r="N247" s="20">
        <f>IF(OR(E247="",M247="Entregue",M247="Cancelado",J247=""),"",IF(J247&lt;TODAY(),"ATRASADO",IF(J247=TODAY(),"ENTREGA HOJE","")))</f>
        <v/>
      </c>
    </row>
    <row r="248">
      <c r="A248" s="18" t="n"/>
      <c r="B248" s="19" t="n"/>
      <c r="C248" s="20" t="n"/>
      <c r="D248" s="20" t="n"/>
      <c r="E248" s="20" t="n"/>
      <c r="F248" s="18" t="n"/>
      <c r="G248" s="21">
        <f>IF(E248="","",IFERROR(VLOOKUP(E248,'Catálogo'!$A$5:$B$504,2,FALSE),0))</f>
        <v/>
      </c>
      <c r="H248" s="21" t="n"/>
      <c r="I248" s="21">
        <f>IF(E248="","",MAX(F248*G248-N(H248),0))</f>
        <v/>
      </c>
      <c r="J248" s="19" t="n"/>
      <c r="K248" s="20" t="n"/>
      <c r="L248" s="20" t="n"/>
      <c r="M248" s="20" t="n"/>
      <c r="N248" s="20">
        <f>IF(OR(E248="",M248="Entregue",M248="Cancelado",J248=""),"",IF(J248&lt;TODAY(),"ATRASADO",IF(J248=TODAY(),"ENTREGA HOJE","")))</f>
        <v/>
      </c>
    </row>
    <row r="249">
      <c r="A249" s="18" t="n"/>
      <c r="B249" s="19" t="n"/>
      <c r="C249" s="20" t="n"/>
      <c r="D249" s="20" t="n"/>
      <c r="E249" s="20" t="n"/>
      <c r="F249" s="18" t="n"/>
      <c r="G249" s="21">
        <f>IF(E249="","",IFERROR(VLOOKUP(E249,'Catálogo'!$A$5:$B$504,2,FALSE),0))</f>
        <v/>
      </c>
      <c r="H249" s="21" t="n"/>
      <c r="I249" s="21">
        <f>IF(E249="","",MAX(F249*G249-N(H249),0))</f>
        <v/>
      </c>
      <c r="J249" s="19" t="n"/>
      <c r="K249" s="20" t="n"/>
      <c r="L249" s="20" t="n"/>
      <c r="M249" s="20" t="n"/>
      <c r="N249" s="20">
        <f>IF(OR(E249="",M249="Entregue",M249="Cancelado",J249=""),"",IF(J249&lt;TODAY(),"ATRASADO",IF(J249=TODAY(),"ENTREGA HOJE","")))</f>
        <v/>
      </c>
    </row>
    <row r="250">
      <c r="A250" s="18" t="n"/>
      <c r="B250" s="19" t="n"/>
      <c r="C250" s="20" t="n"/>
      <c r="D250" s="20" t="n"/>
      <c r="E250" s="20" t="n"/>
      <c r="F250" s="18" t="n"/>
      <c r="G250" s="21">
        <f>IF(E250="","",IFERROR(VLOOKUP(E250,'Catálogo'!$A$5:$B$504,2,FALSE),0))</f>
        <v/>
      </c>
      <c r="H250" s="21" t="n"/>
      <c r="I250" s="21">
        <f>IF(E250="","",MAX(F250*G250-N(H250),0))</f>
        <v/>
      </c>
      <c r="J250" s="19" t="n"/>
      <c r="K250" s="20" t="n"/>
      <c r="L250" s="20" t="n"/>
      <c r="M250" s="20" t="n"/>
      <c r="N250" s="20">
        <f>IF(OR(E250="",M250="Entregue",M250="Cancelado",J250=""),"",IF(J250&lt;TODAY(),"ATRASADO",IF(J250=TODAY(),"ENTREGA HOJE","")))</f>
        <v/>
      </c>
    </row>
    <row r="251">
      <c r="A251" s="18" t="n"/>
      <c r="B251" s="19" t="n"/>
      <c r="C251" s="20" t="n"/>
      <c r="D251" s="20" t="n"/>
      <c r="E251" s="20" t="n"/>
      <c r="F251" s="18" t="n"/>
      <c r="G251" s="21">
        <f>IF(E251="","",IFERROR(VLOOKUP(E251,'Catálogo'!$A$5:$B$504,2,FALSE),0))</f>
        <v/>
      </c>
      <c r="H251" s="21" t="n"/>
      <c r="I251" s="21">
        <f>IF(E251="","",MAX(F251*G251-N(H251),0))</f>
        <v/>
      </c>
      <c r="J251" s="19" t="n"/>
      <c r="K251" s="20" t="n"/>
      <c r="L251" s="20" t="n"/>
      <c r="M251" s="20" t="n"/>
      <c r="N251" s="20">
        <f>IF(OR(E251="",M251="Entregue",M251="Cancelado",J251=""),"",IF(J251&lt;TODAY(),"ATRASADO",IF(J251=TODAY(),"ENTREGA HOJE","")))</f>
        <v/>
      </c>
    </row>
    <row r="252">
      <c r="A252" s="18" t="n"/>
      <c r="B252" s="19" t="n"/>
      <c r="C252" s="20" t="n"/>
      <c r="D252" s="20" t="n"/>
      <c r="E252" s="20" t="n"/>
      <c r="F252" s="18" t="n"/>
      <c r="G252" s="21">
        <f>IF(E252="","",IFERROR(VLOOKUP(E252,'Catálogo'!$A$5:$B$504,2,FALSE),0))</f>
        <v/>
      </c>
      <c r="H252" s="21" t="n"/>
      <c r="I252" s="21">
        <f>IF(E252="","",MAX(F252*G252-N(H252),0))</f>
        <v/>
      </c>
      <c r="J252" s="19" t="n"/>
      <c r="K252" s="20" t="n"/>
      <c r="L252" s="20" t="n"/>
      <c r="M252" s="20" t="n"/>
      <c r="N252" s="20">
        <f>IF(OR(E252="",M252="Entregue",M252="Cancelado",J252=""),"",IF(J252&lt;TODAY(),"ATRASADO",IF(J252=TODAY(),"ENTREGA HOJE","")))</f>
        <v/>
      </c>
    </row>
    <row r="253">
      <c r="A253" s="18" t="n"/>
      <c r="B253" s="19" t="n"/>
      <c r="C253" s="20" t="n"/>
      <c r="D253" s="20" t="n"/>
      <c r="E253" s="20" t="n"/>
      <c r="F253" s="18" t="n"/>
      <c r="G253" s="21">
        <f>IF(E253="","",IFERROR(VLOOKUP(E253,'Catálogo'!$A$5:$B$504,2,FALSE),0))</f>
        <v/>
      </c>
      <c r="H253" s="21" t="n"/>
      <c r="I253" s="21">
        <f>IF(E253="","",MAX(F253*G253-N(H253),0))</f>
        <v/>
      </c>
      <c r="J253" s="19" t="n"/>
      <c r="K253" s="20" t="n"/>
      <c r="L253" s="20" t="n"/>
      <c r="M253" s="20" t="n"/>
      <c r="N253" s="20">
        <f>IF(OR(E253="",M253="Entregue",M253="Cancelado",J253=""),"",IF(J253&lt;TODAY(),"ATRASADO",IF(J253=TODAY(),"ENTREGA HOJE","")))</f>
        <v/>
      </c>
    </row>
    <row r="254">
      <c r="A254" s="18" t="n"/>
      <c r="B254" s="19" t="n"/>
      <c r="C254" s="20" t="n"/>
      <c r="D254" s="20" t="n"/>
      <c r="E254" s="20" t="n"/>
      <c r="F254" s="18" t="n"/>
      <c r="G254" s="21">
        <f>IF(E254="","",IFERROR(VLOOKUP(E254,'Catálogo'!$A$5:$B$504,2,FALSE),0))</f>
        <v/>
      </c>
      <c r="H254" s="21" t="n"/>
      <c r="I254" s="21">
        <f>IF(E254="","",MAX(F254*G254-N(H254),0))</f>
        <v/>
      </c>
      <c r="J254" s="19" t="n"/>
      <c r="K254" s="20" t="n"/>
      <c r="L254" s="20" t="n"/>
      <c r="M254" s="20" t="n"/>
      <c r="N254" s="20">
        <f>IF(OR(E254="",M254="Entregue",M254="Cancelado",J254=""),"",IF(J254&lt;TODAY(),"ATRASADO",IF(J254=TODAY(),"ENTREGA HOJE","")))</f>
        <v/>
      </c>
    </row>
    <row r="255">
      <c r="A255" s="18" t="n"/>
      <c r="B255" s="19" t="n"/>
      <c r="C255" s="20" t="n"/>
      <c r="D255" s="20" t="n"/>
      <c r="E255" s="20" t="n"/>
      <c r="F255" s="18" t="n"/>
      <c r="G255" s="21">
        <f>IF(E255="","",IFERROR(VLOOKUP(E255,'Catálogo'!$A$5:$B$504,2,FALSE),0))</f>
        <v/>
      </c>
      <c r="H255" s="21" t="n"/>
      <c r="I255" s="21">
        <f>IF(E255="","",MAX(F255*G255-N(H255),0))</f>
        <v/>
      </c>
      <c r="J255" s="19" t="n"/>
      <c r="K255" s="20" t="n"/>
      <c r="L255" s="20" t="n"/>
      <c r="M255" s="20" t="n"/>
      <c r="N255" s="20">
        <f>IF(OR(E255="",M255="Entregue",M255="Cancelado",J255=""),"",IF(J255&lt;TODAY(),"ATRASADO",IF(J255=TODAY(),"ENTREGA HOJE","")))</f>
        <v/>
      </c>
    </row>
    <row r="256">
      <c r="A256" s="18" t="n"/>
      <c r="B256" s="19" t="n"/>
      <c r="C256" s="20" t="n"/>
      <c r="D256" s="20" t="n"/>
      <c r="E256" s="20" t="n"/>
      <c r="F256" s="18" t="n"/>
      <c r="G256" s="21">
        <f>IF(E256="","",IFERROR(VLOOKUP(E256,'Catálogo'!$A$5:$B$504,2,FALSE),0))</f>
        <v/>
      </c>
      <c r="H256" s="21" t="n"/>
      <c r="I256" s="21">
        <f>IF(E256="","",MAX(F256*G256-N(H256),0))</f>
        <v/>
      </c>
      <c r="J256" s="19" t="n"/>
      <c r="K256" s="20" t="n"/>
      <c r="L256" s="20" t="n"/>
      <c r="M256" s="20" t="n"/>
      <c r="N256" s="20">
        <f>IF(OR(E256="",M256="Entregue",M256="Cancelado",J256=""),"",IF(J256&lt;TODAY(),"ATRASADO",IF(J256=TODAY(),"ENTREGA HOJE","")))</f>
        <v/>
      </c>
    </row>
    <row r="257">
      <c r="A257" s="18" t="n"/>
      <c r="B257" s="19" t="n"/>
      <c r="C257" s="20" t="n"/>
      <c r="D257" s="20" t="n"/>
      <c r="E257" s="20" t="n"/>
      <c r="F257" s="18" t="n"/>
      <c r="G257" s="21">
        <f>IF(E257="","",IFERROR(VLOOKUP(E257,'Catálogo'!$A$5:$B$504,2,FALSE),0))</f>
        <v/>
      </c>
      <c r="H257" s="21" t="n"/>
      <c r="I257" s="21">
        <f>IF(E257="","",MAX(F257*G257-N(H257),0))</f>
        <v/>
      </c>
      <c r="J257" s="19" t="n"/>
      <c r="K257" s="20" t="n"/>
      <c r="L257" s="20" t="n"/>
      <c r="M257" s="20" t="n"/>
      <c r="N257" s="20">
        <f>IF(OR(E257="",M257="Entregue",M257="Cancelado",J257=""),"",IF(J257&lt;TODAY(),"ATRASADO",IF(J257=TODAY(),"ENTREGA HOJE","")))</f>
        <v/>
      </c>
    </row>
    <row r="258">
      <c r="A258" s="18" t="n"/>
      <c r="B258" s="19" t="n"/>
      <c r="C258" s="20" t="n"/>
      <c r="D258" s="20" t="n"/>
      <c r="E258" s="20" t="n"/>
      <c r="F258" s="18" t="n"/>
      <c r="G258" s="21">
        <f>IF(E258="","",IFERROR(VLOOKUP(E258,'Catálogo'!$A$5:$B$504,2,FALSE),0))</f>
        <v/>
      </c>
      <c r="H258" s="21" t="n"/>
      <c r="I258" s="21">
        <f>IF(E258="","",MAX(F258*G258-N(H258),0))</f>
        <v/>
      </c>
      <c r="J258" s="19" t="n"/>
      <c r="K258" s="20" t="n"/>
      <c r="L258" s="20" t="n"/>
      <c r="M258" s="20" t="n"/>
      <c r="N258" s="20">
        <f>IF(OR(E258="",M258="Entregue",M258="Cancelado",J258=""),"",IF(J258&lt;TODAY(),"ATRASADO",IF(J258=TODAY(),"ENTREGA HOJE","")))</f>
        <v/>
      </c>
    </row>
    <row r="259">
      <c r="A259" s="18" t="n"/>
      <c r="B259" s="19" t="n"/>
      <c r="C259" s="20" t="n"/>
      <c r="D259" s="20" t="n"/>
      <c r="E259" s="20" t="n"/>
      <c r="F259" s="18" t="n"/>
      <c r="G259" s="21">
        <f>IF(E259="","",IFERROR(VLOOKUP(E259,'Catálogo'!$A$5:$B$504,2,FALSE),0))</f>
        <v/>
      </c>
      <c r="H259" s="21" t="n"/>
      <c r="I259" s="21">
        <f>IF(E259="","",MAX(F259*G259-N(H259),0))</f>
        <v/>
      </c>
      <c r="J259" s="19" t="n"/>
      <c r="K259" s="20" t="n"/>
      <c r="L259" s="20" t="n"/>
      <c r="M259" s="20" t="n"/>
      <c r="N259" s="20">
        <f>IF(OR(E259="",M259="Entregue",M259="Cancelado",J259=""),"",IF(J259&lt;TODAY(),"ATRASADO",IF(J259=TODAY(),"ENTREGA HOJE","")))</f>
        <v/>
      </c>
    </row>
    <row r="260">
      <c r="A260" s="18" t="n"/>
      <c r="B260" s="19" t="n"/>
      <c r="C260" s="20" t="n"/>
      <c r="D260" s="20" t="n"/>
      <c r="E260" s="20" t="n"/>
      <c r="F260" s="18" t="n"/>
      <c r="G260" s="21">
        <f>IF(E260="","",IFERROR(VLOOKUP(E260,'Catálogo'!$A$5:$B$504,2,FALSE),0))</f>
        <v/>
      </c>
      <c r="H260" s="21" t="n"/>
      <c r="I260" s="21">
        <f>IF(E260="","",MAX(F260*G260-N(H260),0))</f>
        <v/>
      </c>
      <c r="J260" s="19" t="n"/>
      <c r="K260" s="20" t="n"/>
      <c r="L260" s="20" t="n"/>
      <c r="M260" s="20" t="n"/>
      <c r="N260" s="20">
        <f>IF(OR(E260="",M260="Entregue",M260="Cancelado",J260=""),"",IF(J260&lt;TODAY(),"ATRASADO",IF(J260=TODAY(),"ENTREGA HOJE","")))</f>
        <v/>
      </c>
    </row>
    <row r="261">
      <c r="A261" s="18" t="n"/>
      <c r="B261" s="19" t="n"/>
      <c r="C261" s="20" t="n"/>
      <c r="D261" s="20" t="n"/>
      <c r="E261" s="20" t="n"/>
      <c r="F261" s="18" t="n"/>
      <c r="G261" s="21">
        <f>IF(E261="","",IFERROR(VLOOKUP(E261,'Catálogo'!$A$5:$B$504,2,FALSE),0))</f>
        <v/>
      </c>
      <c r="H261" s="21" t="n"/>
      <c r="I261" s="21">
        <f>IF(E261="","",MAX(F261*G261-N(H261),0))</f>
        <v/>
      </c>
      <c r="J261" s="19" t="n"/>
      <c r="K261" s="20" t="n"/>
      <c r="L261" s="20" t="n"/>
      <c r="M261" s="20" t="n"/>
      <c r="N261" s="20">
        <f>IF(OR(E261="",M261="Entregue",M261="Cancelado",J261=""),"",IF(J261&lt;TODAY(),"ATRASADO",IF(J261=TODAY(),"ENTREGA HOJE","")))</f>
        <v/>
      </c>
    </row>
    <row r="262">
      <c r="A262" s="18" t="n"/>
      <c r="B262" s="19" t="n"/>
      <c r="C262" s="20" t="n"/>
      <c r="D262" s="20" t="n"/>
      <c r="E262" s="20" t="n"/>
      <c r="F262" s="18" t="n"/>
      <c r="G262" s="21">
        <f>IF(E262="","",IFERROR(VLOOKUP(E262,'Catálogo'!$A$5:$B$504,2,FALSE),0))</f>
        <v/>
      </c>
      <c r="H262" s="21" t="n"/>
      <c r="I262" s="21">
        <f>IF(E262="","",MAX(F262*G262-N(H262),0))</f>
        <v/>
      </c>
      <c r="J262" s="19" t="n"/>
      <c r="K262" s="20" t="n"/>
      <c r="L262" s="20" t="n"/>
      <c r="M262" s="20" t="n"/>
      <c r="N262" s="20">
        <f>IF(OR(E262="",M262="Entregue",M262="Cancelado",J262=""),"",IF(J262&lt;TODAY(),"ATRASADO",IF(J262=TODAY(),"ENTREGA HOJE","")))</f>
        <v/>
      </c>
    </row>
    <row r="263">
      <c r="A263" s="18" t="n"/>
      <c r="B263" s="19" t="n"/>
      <c r="C263" s="20" t="n"/>
      <c r="D263" s="20" t="n"/>
      <c r="E263" s="20" t="n"/>
      <c r="F263" s="18" t="n"/>
      <c r="G263" s="21">
        <f>IF(E263="","",IFERROR(VLOOKUP(E263,'Catálogo'!$A$5:$B$504,2,FALSE),0))</f>
        <v/>
      </c>
      <c r="H263" s="21" t="n"/>
      <c r="I263" s="21">
        <f>IF(E263="","",MAX(F263*G263-N(H263),0))</f>
        <v/>
      </c>
      <c r="J263" s="19" t="n"/>
      <c r="K263" s="20" t="n"/>
      <c r="L263" s="20" t="n"/>
      <c r="M263" s="20" t="n"/>
      <c r="N263" s="20">
        <f>IF(OR(E263="",M263="Entregue",M263="Cancelado",J263=""),"",IF(J263&lt;TODAY(),"ATRASADO",IF(J263=TODAY(),"ENTREGA HOJE","")))</f>
        <v/>
      </c>
    </row>
    <row r="264">
      <c r="A264" s="18" t="n"/>
      <c r="B264" s="19" t="n"/>
      <c r="C264" s="20" t="n"/>
      <c r="D264" s="20" t="n"/>
      <c r="E264" s="20" t="n"/>
      <c r="F264" s="18" t="n"/>
      <c r="G264" s="21">
        <f>IF(E264="","",IFERROR(VLOOKUP(E264,'Catálogo'!$A$5:$B$504,2,FALSE),0))</f>
        <v/>
      </c>
      <c r="H264" s="21" t="n"/>
      <c r="I264" s="21">
        <f>IF(E264="","",MAX(F264*G264-N(H264),0))</f>
        <v/>
      </c>
      <c r="J264" s="19" t="n"/>
      <c r="K264" s="20" t="n"/>
      <c r="L264" s="20" t="n"/>
      <c r="M264" s="20" t="n"/>
      <c r="N264" s="20">
        <f>IF(OR(E264="",M264="Entregue",M264="Cancelado",J264=""),"",IF(J264&lt;TODAY(),"ATRASADO",IF(J264=TODAY(),"ENTREGA HOJE","")))</f>
        <v/>
      </c>
    </row>
    <row r="265">
      <c r="A265" s="18" t="n"/>
      <c r="B265" s="19" t="n"/>
      <c r="C265" s="20" t="n"/>
      <c r="D265" s="20" t="n"/>
      <c r="E265" s="20" t="n"/>
      <c r="F265" s="18" t="n"/>
      <c r="G265" s="21">
        <f>IF(E265="","",IFERROR(VLOOKUP(E265,'Catálogo'!$A$5:$B$504,2,FALSE),0))</f>
        <v/>
      </c>
      <c r="H265" s="21" t="n"/>
      <c r="I265" s="21">
        <f>IF(E265="","",MAX(F265*G265-N(H265),0))</f>
        <v/>
      </c>
      <c r="J265" s="19" t="n"/>
      <c r="K265" s="20" t="n"/>
      <c r="L265" s="20" t="n"/>
      <c r="M265" s="20" t="n"/>
      <c r="N265" s="20">
        <f>IF(OR(E265="",M265="Entregue",M265="Cancelado",J265=""),"",IF(J265&lt;TODAY(),"ATRASADO",IF(J265=TODAY(),"ENTREGA HOJE","")))</f>
        <v/>
      </c>
    </row>
    <row r="266">
      <c r="A266" s="18" t="n"/>
      <c r="B266" s="19" t="n"/>
      <c r="C266" s="20" t="n"/>
      <c r="D266" s="20" t="n"/>
      <c r="E266" s="20" t="n"/>
      <c r="F266" s="18" t="n"/>
      <c r="G266" s="21">
        <f>IF(E266="","",IFERROR(VLOOKUP(E266,'Catálogo'!$A$5:$B$504,2,FALSE),0))</f>
        <v/>
      </c>
      <c r="H266" s="21" t="n"/>
      <c r="I266" s="21">
        <f>IF(E266="","",MAX(F266*G266-N(H266),0))</f>
        <v/>
      </c>
      <c r="J266" s="19" t="n"/>
      <c r="K266" s="20" t="n"/>
      <c r="L266" s="20" t="n"/>
      <c r="M266" s="20" t="n"/>
      <c r="N266" s="20">
        <f>IF(OR(E266="",M266="Entregue",M266="Cancelado",J266=""),"",IF(J266&lt;TODAY(),"ATRASADO",IF(J266=TODAY(),"ENTREGA HOJE","")))</f>
        <v/>
      </c>
    </row>
    <row r="267">
      <c r="A267" s="18" t="n"/>
      <c r="B267" s="19" t="n"/>
      <c r="C267" s="20" t="n"/>
      <c r="D267" s="20" t="n"/>
      <c r="E267" s="20" t="n"/>
      <c r="F267" s="18" t="n"/>
      <c r="G267" s="21">
        <f>IF(E267="","",IFERROR(VLOOKUP(E267,'Catálogo'!$A$5:$B$504,2,FALSE),0))</f>
        <v/>
      </c>
      <c r="H267" s="21" t="n"/>
      <c r="I267" s="21">
        <f>IF(E267="","",MAX(F267*G267-N(H267),0))</f>
        <v/>
      </c>
      <c r="J267" s="19" t="n"/>
      <c r="K267" s="20" t="n"/>
      <c r="L267" s="20" t="n"/>
      <c r="M267" s="20" t="n"/>
      <c r="N267" s="20">
        <f>IF(OR(E267="",M267="Entregue",M267="Cancelado",J267=""),"",IF(J267&lt;TODAY(),"ATRASADO",IF(J267=TODAY(),"ENTREGA HOJE","")))</f>
        <v/>
      </c>
    </row>
    <row r="268">
      <c r="A268" s="18" t="n"/>
      <c r="B268" s="19" t="n"/>
      <c r="C268" s="20" t="n"/>
      <c r="D268" s="20" t="n"/>
      <c r="E268" s="20" t="n"/>
      <c r="F268" s="18" t="n"/>
      <c r="G268" s="21">
        <f>IF(E268="","",IFERROR(VLOOKUP(E268,'Catálogo'!$A$5:$B$504,2,FALSE),0))</f>
        <v/>
      </c>
      <c r="H268" s="21" t="n"/>
      <c r="I268" s="21">
        <f>IF(E268="","",MAX(F268*G268-N(H268),0))</f>
        <v/>
      </c>
      <c r="J268" s="19" t="n"/>
      <c r="K268" s="20" t="n"/>
      <c r="L268" s="20" t="n"/>
      <c r="M268" s="20" t="n"/>
      <c r="N268" s="20">
        <f>IF(OR(E268="",M268="Entregue",M268="Cancelado",J268=""),"",IF(J268&lt;TODAY(),"ATRASADO",IF(J268=TODAY(),"ENTREGA HOJE","")))</f>
        <v/>
      </c>
    </row>
    <row r="269">
      <c r="A269" s="18" t="n"/>
      <c r="B269" s="19" t="n"/>
      <c r="C269" s="20" t="n"/>
      <c r="D269" s="20" t="n"/>
      <c r="E269" s="20" t="n"/>
      <c r="F269" s="18" t="n"/>
      <c r="G269" s="21">
        <f>IF(E269="","",IFERROR(VLOOKUP(E269,'Catálogo'!$A$5:$B$504,2,FALSE),0))</f>
        <v/>
      </c>
      <c r="H269" s="21" t="n"/>
      <c r="I269" s="21">
        <f>IF(E269="","",MAX(F269*G269-N(H269),0))</f>
        <v/>
      </c>
      <c r="J269" s="19" t="n"/>
      <c r="K269" s="20" t="n"/>
      <c r="L269" s="20" t="n"/>
      <c r="M269" s="20" t="n"/>
      <c r="N269" s="20">
        <f>IF(OR(E269="",M269="Entregue",M269="Cancelado",J269=""),"",IF(J269&lt;TODAY(),"ATRASADO",IF(J269=TODAY(),"ENTREGA HOJE","")))</f>
        <v/>
      </c>
    </row>
    <row r="270">
      <c r="A270" s="18" t="n"/>
      <c r="B270" s="19" t="n"/>
      <c r="C270" s="20" t="n"/>
      <c r="D270" s="20" t="n"/>
      <c r="E270" s="20" t="n"/>
      <c r="F270" s="18" t="n"/>
      <c r="G270" s="21">
        <f>IF(E270="","",IFERROR(VLOOKUP(E270,'Catálogo'!$A$5:$B$504,2,FALSE),0))</f>
        <v/>
      </c>
      <c r="H270" s="21" t="n"/>
      <c r="I270" s="21">
        <f>IF(E270="","",MAX(F270*G270-N(H270),0))</f>
        <v/>
      </c>
      <c r="J270" s="19" t="n"/>
      <c r="K270" s="20" t="n"/>
      <c r="L270" s="20" t="n"/>
      <c r="M270" s="20" t="n"/>
      <c r="N270" s="20">
        <f>IF(OR(E270="",M270="Entregue",M270="Cancelado",J270=""),"",IF(J270&lt;TODAY(),"ATRASADO",IF(J270=TODAY(),"ENTREGA HOJE","")))</f>
        <v/>
      </c>
    </row>
    <row r="271">
      <c r="A271" s="18" t="n"/>
      <c r="B271" s="19" t="n"/>
      <c r="C271" s="20" t="n"/>
      <c r="D271" s="20" t="n"/>
      <c r="E271" s="20" t="n"/>
      <c r="F271" s="18" t="n"/>
      <c r="G271" s="21">
        <f>IF(E271="","",IFERROR(VLOOKUP(E271,'Catálogo'!$A$5:$B$504,2,FALSE),0))</f>
        <v/>
      </c>
      <c r="H271" s="21" t="n"/>
      <c r="I271" s="21">
        <f>IF(E271="","",MAX(F271*G271-N(H271),0))</f>
        <v/>
      </c>
      <c r="J271" s="19" t="n"/>
      <c r="K271" s="20" t="n"/>
      <c r="L271" s="20" t="n"/>
      <c r="M271" s="20" t="n"/>
      <c r="N271" s="20">
        <f>IF(OR(E271="",M271="Entregue",M271="Cancelado",J271=""),"",IF(J271&lt;TODAY(),"ATRASADO",IF(J271=TODAY(),"ENTREGA HOJE","")))</f>
        <v/>
      </c>
    </row>
    <row r="272">
      <c r="A272" s="18" t="n"/>
      <c r="B272" s="19" t="n"/>
      <c r="C272" s="20" t="n"/>
      <c r="D272" s="20" t="n"/>
      <c r="E272" s="20" t="n"/>
      <c r="F272" s="18" t="n"/>
      <c r="G272" s="21">
        <f>IF(E272="","",IFERROR(VLOOKUP(E272,'Catálogo'!$A$5:$B$504,2,FALSE),0))</f>
        <v/>
      </c>
      <c r="H272" s="21" t="n"/>
      <c r="I272" s="21">
        <f>IF(E272="","",MAX(F272*G272-N(H272),0))</f>
        <v/>
      </c>
      <c r="J272" s="19" t="n"/>
      <c r="K272" s="20" t="n"/>
      <c r="L272" s="20" t="n"/>
      <c r="M272" s="20" t="n"/>
      <c r="N272" s="20">
        <f>IF(OR(E272="",M272="Entregue",M272="Cancelado",J272=""),"",IF(J272&lt;TODAY(),"ATRASADO",IF(J272=TODAY(),"ENTREGA HOJE","")))</f>
        <v/>
      </c>
    </row>
    <row r="273">
      <c r="A273" s="18" t="n"/>
      <c r="B273" s="19" t="n"/>
      <c r="C273" s="20" t="n"/>
      <c r="D273" s="20" t="n"/>
      <c r="E273" s="20" t="n"/>
      <c r="F273" s="18" t="n"/>
      <c r="G273" s="21">
        <f>IF(E273="","",IFERROR(VLOOKUP(E273,'Catálogo'!$A$5:$B$504,2,FALSE),0))</f>
        <v/>
      </c>
      <c r="H273" s="21" t="n"/>
      <c r="I273" s="21">
        <f>IF(E273="","",MAX(F273*G273-N(H273),0))</f>
        <v/>
      </c>
      <c r="J273" s="19" t="n"/>
      <c r="K273" s="20" t="n"/>
      <c r="L273" s="20" t="n"/>
      <c r="M273" s="20" t="n"/>
      <c r="N273" s="20">
        <f>IF(OR(E273="",M273="Entregue",M273="Cancelado",J273=""),"",IF(J273&lt;TODAY(),"ATRASADO",IF(J273=TODAY(),"ENTREGA HOJE","")))</f>
        <v/>
      </c>
    </row>
    <row r="274">
      <c r="A274" s="18" t="n"/>
      <c r="B274" s="19" t="n"/>
      <c r="C274" s="20" t="n"/>
      <c r="D274" s="20" t="n"/>
      <c r="E274" s="20" t="n"/>
      <c r="F274" s="18" t="n"/>
      <c r="G274" s="21">
        <f>IF(E274="","",IFERROR(VLOOKUP(E274,'Catálogo'!$A$5:$B$504,2,FALSE),0))</f>
        <v/>
      </c>
      <c r="H274" s="21" t="n"/>
      <c r="I274" s="21">
        <f>IF(E274="","",MAX(F274*G274-N(H274),0))</f>
        <v/>
      </c>
      <c r="J274" s="19" t="n"/>
      <c r="K274" s="20" t="n"/>
      <c r="L274" s="20" t="n"/>
      <c r="M274" s="20" t="n"/>
      <c r="N274" s="20">
        <f>IF(OR(E274="",M274="Entregue",M274="Cancelado",J274=""),"",IF(J274&lt;TODAY(),"ATRASADO",IF(J274=TODAY(),"ENTREGA HOJE","")))</f>
        <v/>
      </c>
    </row>
    <row r="275">
      <c r="A275" s="18" t="n"/>
      <c r="B275" s="19" t="n"/>
      <c r="C275" s="20" t="n"/>
      <c r="D275" s="20" t="n"/>
      <c r="E275" s="20" t="n"/>
      <c r="F275" s="18" t="n"/>
      <c r="G275" s="21">
        <f>IF(E275="","",IFERROR(VLOOKUP(E275,'Catálogo'!$A$5:$B$504,2,FALSE),0))</f>
        <v/>
      </c>
      <c r="H275" s="21" t="n"/>
      <c r="I275" s="21">
        <f>IF(E275="","",MAX(F275*G275-N(H275),0))</f>
        <v/>
      </c>
      <c r="J275" s="19" t="n"/>
      <c r="K275" s="20" t="n"/>
      <c r="L275" s="20" t="n"/>
      <c r="M275" s="20" t="n"/>
      <c r="N275" s="20">
        <f>IF(OR(E275="",M275="Entregue",M275="Cancelado",J275=""),"",IF(J275&lt;TODAY(),"ATRASADO",IF(J275=TODAY(),"ENTREGA HOJE","")))</f>
        <v/>
      </c>
    </row>
    <row r="276">
      <c r="A276" s="18" t="n"/>
      <c r="B276" s="19" t="n"/>
      <c r="C276" s="20" t="n"/>
      <c r="D276" s="20" t="n"/>
      <c r="E276" s="20" t="n"/>
      <c r="F276" s="18" t="n"/>
      <c r="G276" s="21">
        <f>IF(E276="","",IFERROR(VLOOKUP(E276,'Catálogo'!$A$5:$B$504,2,FALSE),0))</f>
        <v/>
      </c>
      <c r="H276" s="21" t="n"/>
      <c r="I276" s="21">
        <f>IF(E276="","",MAX(F276*G276-N(H276),0))</f>
        <v/>
      </c>
      <c r="J276" s="19" t="n"/>
      <c r="K276" s="20" t="n"/>
      <c r="L276" s="20" t="n"/>
      <c r="M276" s="20" t="n"/>
      <c r="N276" s="20">
        <f>IF(OR(E276="",M276="Entregue",M276="Cancelado",J276=""),"",IF(J276&lt;TODAY(),"ATRASADO",IF(J276=TODAY(),"ENTREGA HOJE","")))</f>
        <v/>
      </c>
    </row>
    <row r="277">
      <c r="A277" s="18" t="n"/>
      <c r="B277" s="19" t="n"/>
      <c r="C277" s="20" t="n"/>
      <c r="D277" s="20" t="n"/>
      <c r="E277" s="20" t="n"/>
      <c r="F277" s="18" t="n"/>
      <c r="G277" s="21">
        <f>IF(E277="","",IFERROR(VLOOKUP(E277,'Catálogo'!$A$5:$B$504,2,FALSE),0))</f>
        <v/>
      </c>
      <c r="H277" s="21" t="n"/>
      <c r="I277" s="21">
        <f>IF(E277="","",MAX(F277*G277-N(H277),0))</f>
        <v/>
      </c>
      <c r="J277" s="19" t="n"/>
      <c r="K277" s="20" t="n"/>
      <c r="L277" s="20" t="n"/>
      <c r="M277" s="20" t="n"/>
      <c r="N277" s="20">
        <f>IF(OR(E277="",M277="Entregue",M277="Cancelado",J277=""),"",IF(J277&lt;TODAY(),"ATRASADO",IF(J277=TODAY(),"ENTREGA HOJE","")))</f>
        <v/>
      </c>
    </row>
    <row r="278">
      <c r="A278" s="18" t="n"/>
      <c r="B278" s="19" t="n"/>
      <c r="C278" s="20" t="n"/>
      <c r="D278" s="20" t="n"/>
      <c r="E278" s="20" t="n"/>
      <c r="F278" s="18" t="n"/>
      <c r="G278" s="21">
        <f>IF(E278="","",IFERROR(VLOOKUP(E278,'Catálogo'!$A$5:$B$504,2,FALSE),0))</f>
        <v/>
      </c>
      <c r="H278" s="21" t="n"/>
      <c r="I278" s="21">
        <f>IF(E278="","",MAX(F278*G278-N(H278),0))</f>
        <v/>
      </c>
      <c r="J278" s="19" t="n"/>
      <c r="K278" s="20" t="n"/>
      <c r="L278" s="20" t="n"/>
      <c r="M278" s="20" t="n"/>
      <c r="N278" s="20">
        <f>IF(OR(E278="",M278="Entregue",M278="Cancelado",J278=""),"",IF(J278&lt;TODAY(),"ATRASADO",IF(J278=TODAY(),"ENTREGA HOJE","")))</f>
        <v/>
      </c>
    </row>
    <row r="279">
      <c r="A279" s="18" t="n"/>
      <c r="B279" s="19" t="n"/>
      <c r="C279" s="20" t="n"/>
      <c r="D279" s="20" t="n"/>
      <c r="E279" s="20" t="n"/>
      <c r="F279" s="18" t="n"/>
      <c r="G279" s="21">
        <f>IF(E279="","",IFERROR(VLOOKUP(E279,'Catálogo'!$A$5:$B$504,2,FALSE),0))</f>
        <v/>
      </c>
      <c r="H279" s="21" t="n"/>
      <c r="I279" s="21">
        <f>IF(E279="","",MAX(F279*G279-N(H279),0))</f>
        <v/>
      </c>
      <c r="J279" s="19" t="n"/>
      <c r="K279" s="20" t="n"/>
      <c r="L279" s="20" t="n"/>
      <c r="M279" s="20" t="n"/>
      <c r="N279" s="20">
        <f>IF(OR(E279="",M279="Entregue",M279="Cancelado",J279=""),"",IF(J279&lt;TODAY(),"ATRASADO",IF(J279=TODAY(),"ENTREGA HOJE","")))</f>
        <v/>
      </c>
    </row>
    <row r="280">
      <c r="A280" s="18" t="n"/>
      <c r="B280" s="19" t="n"/>
      <c r="C280" s="20" t="n"/>
      <c r="D280" s="20" t="n"/>
      <c r="E280" s="20" t="n"/>
      <c r="F280" s="18" t="n"/>
      <c r="G280" s="21">
        <f>IF(E280="","",IFERROR(VLOOKUP(E280,'Catálogo'!$A$5:$B$504,2,FALSE),0))</f>
        <v/>
      </c>
      <c r="H280" s="21" t="n"/>
      <c r="I280" s="21">
        <f>IF(E280="","",MAX(F280*G280-N(H280),0))</f>
        <v/>
      </c>
      <c r="J280" s="19" t="n"/>
      <c r="K280" s="20" t="n"/>
      <c r="L280" s="20" t="n"/>
      <c r="M280" s="20" t="n"/>
      <c r="N280" s="20">
        <f>IF(OR(E280="",M280="Entregue",M280="Cancelado",J280=""),"",IF(J280&lt;TODAY(),"ATRASADO",IF(J280=TODAY(),"ENTREGA HOJE","")))</f>
        <v/>
      </c>
    </row>
    <row r="281">
      <c r="A281" s="18" t="n"/>
      <c r="B281" s="19" t="n"/>
      <c r="C281" s="20" t="n"/>
      <c r="D281" s="20" t="n"/>
      <c r="E281" s="20" t="n"/>
      <c r="F281" s="18" t="n"/>
      <c r="G281" s="21">
        <f>IF(E281="","",IFERROR(VLOOKUP(E281,'Catálogo'!$A$5:$B$504,2,FALSE),0))</f>
        <v/>
      </c>
      <c r="H281" s="21" t="n"/>
      <c r="I281" s="21">
        <f>IF(E281="","",MAX(F281*G281-N(H281),0))</f>
        <v/>
      </c>
      <c r="J281" s="19" t="n"/>
      <c r="K281" s="20" t="n"/>
      <c r="L281" s="20" t="n"/>
      <c r="M281" s="20" t="n"/>
      <c r="N281" s="20">
        <f>IF(OR(E281="",M281="Entregue",M281="Cancelado",J281=""),"",IF(J281&lt;TODAY(),"ATRASADO",IF(J281=TODAY(),"ENTREGA HOJE","")))</f>
        <v/>
      </c>
    </row>
    <row r="282">
      <c r="A282" s="18" t="n"/>
      <c r="B282" s="19" t="n"/>
      <c r="C282" s="20" t="n"/>
      <c r="D282" s="20" t="n"/>
      <c r="E282" s="20" t="n"/>
      <c r="F282" s="18" t="n"/>
      <c r="G282" s="21">
        <f>IF(E282="","",IFERROR(VLOOKUP(E282,'Catálogo'!$A$5:$B$504,2,FALSE),0))</f>
        <v/>
      </c>
      <c r="H282" s="21" t="n"/>
      <c r="I282" s="21">
        <f>IF(E282="","",MAX(F282*G282-N(H282),0))</f>
        <v/>
      </c>
      <c r="J282" s="19" t="n"/>
      <c r="K282" s="20" t="n"/>
      <c r="L282" s="20" t="n"/>
      <c r="M282" s="20" t="n"/>
      <c r="N282" s="20">
        <f>IF(OR(E282="",M282="Entregue",M282="Cancelado",J282=""),"",IF(J282&lt;TODAY(),"ATRASADO",IF(J282=TODAY(),"ENTREGA HOJE","")))</f>
        <v/>
      </c>
    </row>
    <row r="283">
      <c r="A283" s="18" t="n"/>
      <c r="B283" s="19" t="n"/>
      <c r="C283" s="20" t="n"/>
      <c r="D283" s="20" t="n"/>
      <c r="E283" s="20" t="n"/>
      <c r="F283" s="18" t="n"/>
      <c r="G283" s="21">
        <f>IF(E283="","",IFERROR(VLOOKUP(E283,'Catálogo'!$A$5:$B$504,2,FALSE),0))</f>
        <v/>
      </c>
      <c r="H283" s="21" t="n"/>
      <c r="I283" s="21">
        <f>IF(E283="","",MAX(F283*G283-N(H283),0))</f>
        <v/>
      </c>
      <c r="J283" s="19" t="n"/>
      <c r="K283" s="20" t="n"/>
      <c r="L283" s="20" t="n"/>
      <c r="M283" s="20" t="n"/>
      <c r="N283" s="20">
        <f>IF(OR(E283="",M283="Entregue",M283="Cancelado",J283=""),"",IF(J283&lt;TODAY(),"ATRASADO",IF(J283=TODAY(),"ENTREGA HOJE","")))</f>
        <v/>
      </c>
    </row>
    <row r="284">
      <c r="A284" s="18" t="n"/>
      <c r="B284" s="19" t="n"/>
      <c r="C284" s="20" t="n"/>
      <c r="D284" s="20" t="n"/>
      <c r="E284" s="20" t="n"/>
      <c r="F284" s="18" t="n"/>
      <c r="G284" s="21">
        <f>IF(E284="","",IFERROR(VLOOKUP(E284,'Catálogo'!$A$5:$B$504,2,FALSE),0))</f>
        <v/>
      </c>
      <c r="H284" s="21" t="n"/>
      <c r="I284" s="21">
        <f>IF(E284="","",MAX(F284*G284-N(H284),0))</f>
        <v/>
      </c>
      <c r="J284" s="19" t="n"/>
      <c r="K284" s="20" t="n"/>
      <c r="L284" s="20" t="n"/>
      <c r="M284" s="20" t="n"/>
      <c r="N284" s="20">
        <f>IF(OR(E284="",M284="Entregue",M284="Cancelado",J284=""),"",IF(J284&lt;TODAY(),"ATRASADO",IF(J284=TODAY(),"ENTREGA HOJE","")))</f>
        <v/>
      </c>
    </row>
    <row r="285">
      <c r="A285" s="18" t="n"/>
      <c r="B285" s="19" t="n"/>
      <c r="C285" s="20" t="n"/>
      <c r="D285" s="20" t="n"/>
      <c r="E285" s="20" t="n"/>
      <c r="F285" s="18" t="n"/>
      <c r="G285" s="21">
        <f>IF(E285="","",IFERROR(VLOOKUP(E285,'Catálogo'!$A$5:$B$504,2,FALSE),0))</f>
        <v/>
      </c>
      <c r="H285" s="21" t="n"/>
      <c r="I285" s="21">
        <f>IF(E285="","",MAX(F285*G285-N(H285),0))</f>
        <v/>
      </c>
      <c r="J285" s="19" t="n"/>
      <c r="K285" s="20" t="n"/>
      <c r="L285" s="20" t="n"/>
      <c r="M285" s="20" t="n"/>
      <c r="N285" s="20">
        <f>IF(OR(E285="",M285="Entregue",M285="Cancelado",J285=""),"",IF(J285&lt;TODAY(),"ATRASADO",IF(J285=TODAY(),"ENTREGA HOJE","")))</f>
        <v/>
      </c>
    </row>
    <row r="286">
      <c r="A286" s="18" t="n"/>
      <c r="B286" s="19" t="n"/>
      <c r="C286" s="20" t="n"/>
      <c r="D286" s="20" t="n"/>
      <c r="E286" s="20" t="n"/>
      <c r="F286" s="18" t="n"/>
      <c r="G286" s="21">
        <f>IF(E286="","",IFERROR(VLOOKUP(E286,'Catálogo'!$A$5:$B$504,2,FALSE),0))</f>
        <v/>
      </c>
      <c r="H286" s="21" t="n"/>
      <c r="I286" s="21">
        <f>IF(E286="","",MAX(F286*G286-N(H286),0))</f>
        <v/>
      </c>
      <c r="J286" s="19" t="n"/>
      <c r="K286" s="20" t="n"/>
      <c r="L286" s="20" t="n"/>
      <c r="M286" s="20" t="n"/>
      <c r="N286" s="20">
        <f>IF(OR(E286="",M286="Entregue",M286="Cancelado",J286=""),"",IF(J286&lt;TODAY(),"ATRASADO",IF(J286=TODAY(),"ENTREGA HOJE","")))</f>
        <v/>
      </c>
    </row>
    <row r="287">
      <c r="A287" s="18" t="n"/>
      <c r="B287" s="19" t="n"/>
      <c r="C287" s="20" t="n"/>
      <c r="D287" s="20" t="n"/>
      <c r="E287" s="20" t="n"/>
      <c r="F287" s="18" t="n"/>
      <c r="G287" s="21">
        <f>IF(E287="","",IFERROR(VLOOKUP(E287,'Catálogo'!$A$5:$B$504,2,FALSE),0))</f>
        <v/>
      </c>
      <c r="H287" s="21" t="n"/>
      <c r="I287" s="21">
        <f>IF(E287="","",MAX(F287*G287-N(H287),0))</f>
        <v/>
      </c>
      <c r="J287" s="19" t="n"/>
      <c r="K287" s="20" t="n"/>
      <c r="L287" s="20" t="n"/>
      <c r="M287" s="20" t="n"/>
      <c r="N287" s="20">
        <f>IF(OR(E287="",M287="Entregue",M287="Cancelado",J287=""),"",IF(J287&lt;TODAY(),"ATRASADO",IF(J287=TODAY(),"ENTREGA HOJE","")))</f>
        <v/>
      </c>
    </row>
    <row r="288">
      <c r="A288" s="18" t="n"/>
      <c r="B288" s="19" t="n"/>
      <c r="C288" s="20" t="n"/>
      <c r="D288" s="20" t="n"/>
      <c r="E288" s="20" t="n"/>
      <c r="F288" s="18" t="n"/>
      <c r="G288" s="21">
        <f>IF(E288="","",IFERROR(VLOOKUP(E288,'Catálogo'!$A$5:$B$504,2,FALSE),0))</f>
        <v/>
      </c>
      <c r="H288" s="21" t="n"/>
      <c r="I288" s="21">
        <f>IF(E288="","",MAX(F288*G288-N(H288),0))</f>
        <v/>
      </c>
      <c r="J288" s="19" t="n"/>
      <c r="K288" s="20" t="n"/>
      <c r="L288" s="20" t="n"/>
      <c r="M288" s="20" t="n"/>
      <c r="N288" s="20">
        <f>IF(OR(E288="",M288="Entregue",M288="Cancelado",J288=""),"",IF(J288&lt;TODAY(),"ATRASADO",IF(J288=TODAY(),"ENTREGA HOJE","")))</f>
        <v/>
      </c>
    </row>
    <row r="289">
      <c r="A289" s="18" t="n"/>
      <c r="B289" s="19" t="n"/>
      <c r="C289" s="20" t="n"/>
      <c r="D289" s="20" t="n"/>
      <c r="E289" s="20" t="n"/>
      <c r="F289" s="18" t="n"/>
      <c r="G289" s="21">
        <f>IF(E289="","",IFERROR(VLOOKUP(E289,'Catálogo'!$A$5:$B$504,2,FALSE),0))</f>
        <v/>
      </c>
      <c r="H289" s="21" t="n"/>
      <c r="I289" s="21">
        <f>IF(E289="","",MAX(F289*G289-N(H289),0))</f>
        <v/>
      </c>
      <c r="J289" s="19" t="n"/>
      <c r="K289" s="20" t="n"/>
      <c r="L289" s="20" t="n"/>
      <c r="M289" s="20" t="n"/>
      <c r="N289" s="20">
        <f>IF(OR(E289="",M289="Entregue",M289="Cancelado",J289=""),"",IF(J289&lt;TODAY(),"ATRASADO",IF(J289=TODAY(),"ENTREGA HOJE","")))</f>
        <v/>
      </c>
    </row>
    <row r="290">
      <c r="A290" s="18" t="n"/>
      <c r="B290" s="19" t="n"/>
      <c r="C290" s="20" t="n"/>
      <c r="D290" s="20" t="n"/>
      <c r="E290" s="20" t="n"/>
      <c r="F290" s="18" t="n"/>
      <c r="G290" s="21">
        <f>IF(E290="","",IFERROR(VLOOKUP(E290,'Catálogo'!$A$5:$B$504,2,FALSE),0))</f>
        <v/>
      </c>
      <c r="H290" s="21" t="n"/>
      <c r="I290" s="21">
        <f>IF(E290="","",MAX(F290*G290-N(H290),0))</f>
        <v/>
      </c>
      <c r="J290" s="19" t="n"/>
      <c r="K290" s="20" t="n"/>
      <c r="L290" s="20" t="n"/>
      <c r="M290" s="20" t="n"/>
      <c r="N290" s="20">
        <f>IF(OR(E290="",M290="Entregue",M290="Cancelado",J290=""),"",IF(J290&lt;TODAY(),"ATRASADO",IF(J290=TODAY(),"ENTREGA HOJE","")))</f>
        <v/>
      </c>
    </row>
    <row r="291">
      <c r="A291" s="18" t="n"/>
      <c r="B291" s="19" t="n"/>
      <c r="C291" s="20" t="n"/>
      <c r="D291" s="20" t="n"/>
      <c r="E291" s="20" t="n"/>
      <c r="F291" s="18" t="n"/>
      <c r="G291" s="21">
        <f>IF(E291="","",IFERROR(VLOOKUP(E291,'Catálogo'!$A$5:$B$504,2,FALSE),0))</f>
        <v/>
      </c>
      <c r="H291" s="21" t="n"/>
      <c r="I291" s="21">
        <f>IF(E291="","",MAX(F291*G291-N(H291),0))</f>
        <v/>
      </c>
      <c r="J291" s="19" t="n"/>
      <c r="K291" s="20" t="n"/>
      <c r="L291" s="20" t="n"/>
      <c r="M291" s="20" t="n"/>
      <c r="N291" s="20">
        <f>IF(OR(E291="",M291="Entregue",M291="Cancelado",J291=""),"",IF(J291&lt;TODAY(),"ATRASADO",IF(J291=TODAY(),"ENTREGA HOJE","")))</f>
        <v/>
      </c>
    </row>
    <row r="292">
      <c r="A292" s="18" t="n"/>
      <c r="B292" s="19" t="n"/>
      <c r="C292" s="20" t="n"/>
      <c r="D292" s="20" t="n"/>
      <c r="E292" s="20" t="n"/>
      <c r="F292" s="18" t="n"/>
      <c r="G292" s="21">
        <f>IF(E292="","",IFERROR(VLOOKUP(E292,'Catálogo'!$A$5:$B$504,2,FALSE),0))</f>
        <v/>
      </c>
      <c r="H292" s="21" t="n"/>
      <c r="I292" s="21">
        <f>IF(E292="","",MAX(F292*G292-N(H292),0))</f>
        <v/>
      </c>
      <c r="J292" s="19" t="n"/>
      <c r="K292" s="20" t="n"/>
      <c r="L292" s="20" t="n"/>
      <c r="M292" s="20" t="n"/>
      <c r="N292" s="20">
        <f>IF(OR(E292="",M292="Entregue",M292="Cancelado",J292=""),"",IF(J292&lt;TODAY(),"ATRASADO",IF(J292=TODAY(),"ENTREGA HOJE","")))</f>
        <v/>
      </c>
    </row>
    <row r="293">
      <c r="A293" s="18" t="n"/>
      <c r="B293" s="19" t="n"/>
      <c r="C293" s="20" t="n"/>
      <c r="D293" s="20" t="n"/>
      <c r="E293" s="20" t="n"/>
      <c r="F293" s="18" t="n"/>
      <c r="G293" s="21">
        <f>IF(E293="","",IFERROR(VLOOKUP(E293,'Catálogo'!$A$5:$B$504,2,FALSE),0))</f>
        <v/>
      </c>
      <c r="H293" s="21" t="n"/>
      <c r="I293" s="21">
        <f>IF(E293="","",MAX(F293*G293-N(H293),0))</f>
        <v/>
      </c>
      <c r="J293" s="19" t="n"/>
      <c r="K293" s="20" t="n"/>
      <c r="L293" s="20" t="n"/>
      <c r="M293" s="20" t="n"/>
      <c r="N293" s="20">
        <f>IF(OR(E293="",M293="Entregue",M293="Cancelado",J293=""),"",IF(J293&lt;TODAY(),"ATRASADO",IF(J293=TODAY(),"ENTREGA HOJE","")))</f>
        <v/>
      </c>
    </row>
    <row r="294">
      <c r="A294" s="18" t="n"/>
      <c r="B294" s="19" t="n"/>
      <c r="C294" s="20" t="n"/>
      <c r="D294" s="20" t="n"/>
      <c r="E294" s="20" t="n"/>
      <c r="F294" s="18" t="n"/>
      <c r="G294" s="21">
        <f>IF(E294="","",IFERROR(VLOOKUP(E294,'Catálogo'!$A$5:$B$504,2,FALSE),0))</f>
        <v/>
      </c>
      <c r="H294" s="21" t="n"/>
      <c r="I294" s="21">
        <f>IF(E294="","",MAX(F294*G294-N(H294),0))</f>
        <v/>
      </c>
      <c r="J294" s="19" t="n"/>
      <c r="K294" s="20" t="n"/>
      <c r="L294" s="20" t="n"/>
      <c r="M294" s="20" t="n"/>
      <c r="N294" s="20">
        <f>IF(OR(E294="",M294="Entregue",M294="Cancelado",J294=""),"",IF(J294&lt;TODAY(),"ATRASADO",IF(J294=TODAY(),"ENTREGA HOJE","")))</f>
        <v/>
      </c>
    </row>
    <row r="295">
      <c r="A295" s="18" t="n"/>
      <c r="B295" s="19" t="n"/>
      <c r="C295" s="20" t="n"/>
      <c r="D295" s="20" t="n"/>
      <c r="E295" s="20" t="n"/>
      <c r="F295" s="18" t="n"/>
      <c r="G295" s="21">
        <f>IF(E295="","",IFERROR(VLOOKUP(E295,'Catálogo'!$A$5:$B$504,2,FALSE),0))</f>
        <v/>
      </c>
      <c r="H295" s="21" t="n"/>
      <c r="I295" s="21">
        <f>IF(E295="","",MAX(F295*G295-N(H295),0))</f>
        <v/>
      </c>
      <c r="J295" s="19" t="n"/>
      <c r="K295" s="20" t="n"/>
      <c r="L295" s="20" t="n"/>
      <c r="M295" s="20" t="n"/>
      <c r="N295" s="20">
        <f>IF(OR(E295="",M295="Entregue",M295="Cancelado",J295=""),"",IF(J295&lt;TODAY(),"ATRASADO",IF(J295=TODAY(),"ENTREGA HOJE","")))</f>
        <v/>
      </c>
    </row>
    <row r="296">
      <c r="A296" s="18" t="n"/>
      <c r="B296" s="19" t="n"/>
      <c r="C296" s="20" t="n"/>
      <c r="D296" s="20" t="n"/>
      <c r="E296" s="20" t="n"/>
      <c r="F296" s="18" t="n"/>
      <c r="G296" s="21">
        <f>IF(E296="","",IFERROR(VLOOKUP(E296,'Catálogo'!$A$5:$B$504,2,FALSE),0))</f>
        <v/>
      </c>
      <c r="H296" s="21" t="n"/>
      <c r="I296" s="21">
        <f>IF(E296="","",MAX(F296*G296-N(H296),0))</f>
        <v/>
      </c>
      <c r="J296" s="19" t="n"/>
      <c r="K296" s="20" t="n"/>
      <c r="L296" s="20" t="n"/>
      <c r="M296" s="20" t="n"/>
      <c r="N296" s="20">
        <f>IF(OR(E296="",M296="Entregue",M296="Cancelado",J296=""),"",IF(J296&lt;TODAY(),"ATRASADO",IF(J296=TODAY(),"ENTREGA HOJE","")))</f>
        <v/>
      </c>
    </row>
    <row r="297">
      <c r="A297" s="18" t="n"/>
      <c r="B297" s="19" t="n"/>
      <c r="C297" s="20" t="n"/>
      <c r="D297" s="20" t="n"/>
      <c r="E297" s="20" t="n"/>
      <c r="F297" s="18" t="n"/>
      <c r="G297" s="21">
        <f>IF(E297="","",IFERROR(VLOOKUP(E297,'Catálogo'!$A$5:$B$504,2,FALSE),0))</f>
        <v/>
      </c>
      <c r="H297" s="21" t="n"/>
      <c r="I297" s="21">
        <f>IF(E297="","",MAX(F297*G297-N(H297),0))</f>
        <v/>
      </c>
      <c r="J297" s="19" t="n"/>
      <c r="K297" s="20" t="n"/>
      <c r="L297" s="20" t="n"/>
      <c r="M297" s="20" t="n"/>
      <c r="N297" s="20">
        <f>IF(OR(E297="",M297="Entregue",M297="Cancelado",J297=""),"",IF(J297&lt;TODAY(),"ATRASADO",IF(J297=TODAY(),"ENTREGA HOJE","")))</f>
        <v/>
      </c>
    </row>
    <row r="298">
      <c r="A298" s="18" t="n"/>
      <c r="B298" s="19" t="n"/>
      <c r="C298" s="20" t="n"/>
      <c r="D298" s="20" t="n"/>
      <c r="E298" s="20" t="n"/>
      <c r="F298" s="18" t="n"/>
      <c r="G298" s="21">
        <f>IF(E298="","",IFERROR(VLOOKUP(E298,'Catálogo'!$A$5:$B$504,2,FALSE),0))</f>
        <v/>
      </c>
      <c r="H298" s="21" t="n"/>
      <c r="I298" s="21">
        <f>IF(E298="","",MAX(F298*G298-N(H298),0))</f>
        <v/>
      </c>
      <c r="J298" s="19" t="n"/>
      <c r="K298" s="20" t="n"/>
      <c r="L298" s="20" t="n"/>
      <c r="M298" s="20" t="n"/>
      <c r="N298" s="20">
        <f>IF(OR(E298="",M298="Entregue",M298="Cancelado",J298=""),"",IF(J298&lt;TODAY(),"ATRASADO",IF(J298=TODAY(),"ENTREGA HOJE","")))</f>
        <v/>
      </c>
    </row>
    <row r="299">
      <c r="A299" s="18" t="n"/>
      <c r="B299" s="19" t="n"/>
      <c r="C299" s="20" t="n"/>
      <c r="D299" s="20" t="n"/>
      <c r="E299" s="20" t="n"/>
      <c r="F299" s="18" t="n"/>
      <c r="G299" s="21">
        <f>IF(E299="","",IFERROR(VLOOKUP(E299,'Catálogo'!$A$5:$B$504,2,FALSE),0))</f>
        <v/>
      </c>
      <c r="H299" s="21" t="n"/>
      <c r="I299" s="21">
        <f>IF(E299="","",MAX(F299*G299-N(H299),0))</f>
        <v/>
      </c>
      <c r="J299" s="19" t="n"/>
      <c r="K299" s="20" t="n"/>
      <c r="L299" s="20" t="n"/>
      <c r="M299" s="20" t="n"/>
      <c r="N299" s="20">
        <f>IF(OR(E299="",M299="Entregue",M299="Cancelado",J299=""),"",IF(J299&lt;TODAY(),"ATRASADO",IF(J299=TODAY(),"ENTREGA HOJE","")))</f>
        <v/>
      </c>
    </row>
    <row r="300">
      <c r="A300" s="18" t="n"/>
      <c r="B300" s="19" t="n"/>
      <c r="C300" s="20" t="n"/>
      <c r="D300" s="20" t="n"/>
      <c r="E300" s="20" t="n"/>
      <c r="F300" s="18" t="n"/>
      <c r="G300" s="21">
        <f>IF(E300="","",IFERROR(VLOOKUP(E300,'Catálogo'!$A$5:$B$504,2,FALSE),0))</f>
        <v/>
      </c>
      <c r="H300" s="21" t="n"/>
      <c r="I300" s="21">
        <f>IF(E300="","",MAX(F300*G300-N(H300),0))</f>
        <v/>
      </c>
      <c r="J300" s="19" t="n"/>
      <c r="K300" s="20" t="n"/>
      <c r="L300" s="20" t="n"/>
      <c r="M300" s="20" t="n"/>
      <c r="N300" s="20">
        <f>IF(OR(E300="",M300="Entregue",M300="Cancelado",J300=""),"",IF(J300&lt;TODAY(),"ATRASADO",IF(J300=TODAY(),"ENTREGA HOJE","")))</f>
        <v/>
      </c>
    </row>
    <row r="301">
      <c r="A301" s="18" t="n"/>
      <c r="B301" s="19" t="n"/>
      <c r="C301" s="20" t="n"/>
      <c r="D301" s="20" t="n"/>
      <c r="E301" s="20" t="n"/>
      <c r="F301" s="18" t="n"/>
      <c r="G301" s="21">
        <f>IF(E301="","",IFERROR(VLOOKUP(E301,'Catálogo'!$A$5:$B$504,2,FALSE),0))</f>
        <v/>
      </c>
      <c r="H301" s="21" t="n"/>
      <c r="I301" s="21">
        <f>IF(E301="","",MAX(F301*G301-N(H301),0))</f>
        <v/>
      </c>
      <c r="J301" s="19" t="n"/>
      <c r="K301" s="20" t="n"/>
      <c r="L301" s="20" t="n"/>
      <c r="M301" s="20" t="n"/>
      <c r="N301" s="20">
        <f>IF(OR(E301="",M301="Entregue",M301="Cancelado",J301=""),"",IF(J301&lt;TODAY(),"ATRASADO",IF(J301=TODAY(),"ENTREGA HOJE","")))</f>
        <v/>
      </c>
    </row>
    <row r="302">
      <c r="A302" s="18" t="n"/>
      <c r="B302" s="19" t="n"/>
      <c r="C302" s="20" t="n"/>
      <c r="D302" s="20" t="n"/>
      <c r="E302" s="20" t="n"/>
      <c r="F302" s="18" t="n"/>
      <c r="G302" s="21">
        <f>IF(E302="","",IFERROR(VLOOKUP(E302,'Catálogo'!$A$5:$B$504,2,FALSE),0))</f>
        <v/>
      </c>
      <c r="H302" s="21" t="n"/>
      <c r="I302" s="21">
        <f>IF(E302="","",MAX(F302*G302-N(H302),0))</f>
        <v/>
      </c>
      <c r="J302" s="19" t="n"/>
      <c r="K302" s="20" t="n"/>
      <c r="L302" s="20" t="n"/>
      <c r="M302" s="20" t="n"/>
      <c r="N302" s="20">
        <f>IF(OR(E302="",M302="Entregue",M302="Cancelado",J302=""),"",IF(J302&lt;TODAY(),"ATRASADO",IF(J302=TODAY(),"ENTREGA HOJE","")))</f>
        <v/>
      </c>
    </row>
    <row r="303">
      <c r="A303" s="18" t="n"/>
      <c r="B303" s="19" t="n"/>
      <c r="C303" s="20" t="n"/>
      <c r="D303" s="20" t="n"/>
      <c r="E303" s="20" t="n"/>
      <c r="F303" s="18" t="n"/>
      <c r="G303" s="21">
        <f>IF(E303="","",IFERROR(VLOOKUP(E303,'Catálogo'!$A$5:$B$504,2,FALSE),0))</f>
        <v/>
      </c>
      <c r="H303" s="21" t="n"/>
      <c r="I303" s="21">
        <f>IF(E303="","",MAX(F303*G303-N(H303),0))</f>
        <v/>
      </c>
      <c r="J303" s="19" t="n"/>
      <c r="K303" s="20" t="n"/>
      <c r="L303" s="20" t="n"/>
      <c r="M303" s="20" t="n"/>
      <c r="N303" s="20">
        <f>IF(OR(E303="",M303="Entregue",M303="Cancelado",J303=""),"",IF(J303&lt;TODAY(),"ATRASADO",IF(J303=TODAY(),"ENTREGA HOJE","")))</f>
        <v/>
      </c>
    </row>
    <row r="304">
      <c r="A304" s="18" t="n"/>
      <c r="B304" s="19" t="n"/>
      <c r="C304" s="20" t="n"/>
      <c r="D304" s="20" t="n"/>
      <c r="E304" s="20" t="n"/>
      <c r="F304" s="18" t="n"/>
      <c r="G304" s="21">
        <f>IF(E304="","",IFERROR(VLOOKUP(E304,'Catálogo'!$A$5:$B$504,2,FALSE),0))</f>
        <v/>
      </c>
      <c r="H304" s="21" t="n"/>
      <c r="I304" s="21">
        <f>IF(E304="","",MAX(F304*G304-N(H304),0))</f>
        <v/>
      </c>
      <c r="J304" s="19" t="n"/>
      <c r="K304" s="20" t="n"/>
      <c r="L304" s="20" t="n"/>
      <c r="M304" s="20" t="n"/>
      <c r="N304" s="20">
        <f>IF(OR(E304="",M304="Entregue",M304="Cancelado",J304=""),"",IF(J304&lt;TODAY(),"ATRASADO",IF(J304=TODAY(),"ENTREGA HOJE","")))</f>
        <v/>
      </c>
    </row>
    <row r="305">
      <c r="A305" s="18" t="n"/>
      <c r="B305" s="19" t="n"/>
      <c r="C305" s="20" t="n"/>
      <c r="D305" s="20" t="n"/>
      <c r="E305" s="20" t="n"/>
      <c r="F305" s="18" t="n"/>
      <c r="G305" s="21">
        <f>IF(E305="","",IFERROR(VLOOKUP(E305,'Catálogo'!$A$5:$B$504,2,FALSE),0))</f>
        <v/>
      </c>
      <c r="H305" s="21" t="n"/>
      <c r="I305" s="21">
        <f>IF(E305="","",MAX(F305*G305-N(H305),0))</f>
        <v/>
      </c>
      <c r="J305" s="19" t="n"/>
      <c r="K305" s="20" t="n"/>
      <c r="L305" s="20" t="n"/>
      <c r="M305" s="20" t="n"/>
      <c r="N305" s="20">
        <f>IF(OR(E305="",M305="Entregue",M305="Cancelado",J305=""),"",IF(J305&lt;TODAY(),"ATRASADO",IF(J305=TODAY(),"ENTREGA HOJE","")))</f>
        <v/>
      </c>
    </row>
    <row r="306">
      <c r="A306" s="18" t="n"/>
      <c r="B306" s="19" t="n"/>
      <c r="C306" s="20" t="n"/>
      <c r="D306" s="20" t="n"/>
      <c r="E306" s="20" t="n"/>
      <c r="F306" s="18" t="n"/>
      <c r="G306" s="21">
        <f>IF(E306="","",IFERROR(VLOOKUP(E306,'Catálogo'!$A$5:$B$504,2,FALSE),0))</f>
        <v/>
      </c>
      <c r="H306" s="21" t="n"/>
      <c r="I306" s="21">
        <f>IF(E306="","",MAX(F306*G306-N(H306),0))</f>
        <v/>
      </c>
      <c r="J306" s="19" t="n"/>
      <c r="K306" s="20" t="n"/>
      <c r="L306" s="20" t="n"/>
      <c r="M306" s="20" t="n"/>
      <c r="N306" s="20">
        <f>IF(OR(E306="",M306="Entregue",M306="Cancelado",J306=""),"",IF(J306&lt;TODAY(),"ATRASADO",IF(J306=TODAY(),"ENTREGA HOJE","")))</f>
        <v/>
      </c>
    </row>
    <row r="307">
      <c r="A307" s="18" t="n"/>
      <c r="B307" s="19" t="n"/>
      <c r="C307" s="20" t="n"/>
      <c r="D307" s="20" t="n"/>
      <c r="E307" s="20" t="n"/>
      <c r="F307" s="18" t="n"/>
      <c r="G307" s="21">
        <f>IF(E307="","",IFERROR(VLOOKUP(E307,'Catálogo'!$A$5:$B$504,2,FALSE),0))</f>
        <v/>
      </c>
      <c r="H307" s="21" t="n"/>
      <c r="I307" s="21">
        <f>IF(E307="","",MAX(F307*G307-N(H307),0))</f>
        <v/>
      </c>
      <c r="J307" s="19" t="n"/>
      <c r="K307" s="20" t="n"/>
      <c r="L307" s="20" t="n"/>
      <c r="M307" s="20" t="n"/>
      <c r="N307" s="20">
        <f>IF(OR(E307="",M307="Entregue",M307="Cancelado",J307=""),"",IF(J307&lt;TODAY(),"ATRASADO",IF(J307=TODAY(),"ENTREGA HOJE","")))</f>
        <v/>
      </c>
    </row>
    <row r="308">
      <c r="A308" s="18" t="n"/>
      <c r="B308" s="19" t="n"/>
      <c r="C308" s="20" t="n"/>
      <c r="D308" s="20" t="n"/>
      <c r="E308" s="20" t="n"/>
      <c r="F308" s="18" t="n"/>
      <c r="G308" s="21">
        <f>IF(E308="","",IFERROR(VLOOKUP(E308,'Catálogo'!$A$5:$B$504,2,FALSE),0))</f>
        <v/>
      </c>
      <c r="H308" s="21" t="n"/>
      <c r="I308" s="21">
        <f>IF(E308="","",MAX(F308*G308-N(H308),0))</f>
        <v/>
      </c>
      <c r="J308" s="19" t="n"/>
      <c r="K308" s="20" t="n"/>
      <c r="L308" s="20" t="n"/>
      <c r="M308" s="20" t="n"/>
      <c r="N308" s="20">
        <f>IF(OR(E308="",M308="Entregue",M308="Cancelado",J308=""),"",IF(J308&lt;TODAY(),"ATRASADO",IF(J308=TODAY(),"ENTREGA HOJE","")))</f>
        <v/>
      </c>
    </row>
    <row r="309">
      <c r="A309" s="18" t="n"/>
      <c r="B309" s="19" t="n"/>
      <c r="C309" s="20" t="n"/>
      <c r="D309" s="20" t="n"/>
      <c r="E309" s="20" t="n"/>
      <c r="F309" s="18" t="n"/>
      <c r="G309" s="21">
        <f>IF(E309="","",IFERROR(VLOOKUP(E309,'Catálogo'!$A$5:$B$504,2,FALSE),0))</f>
        <v/>
      </c>
      <c r="H309" s="21" t="n"/>
      <c r="I309" s="21">
        <f>IF(E309="","",MAX(F309*G309-N(H309),0))</f>
        <v/>
      </c>
      <c r="J309" s="19" t="n"/>
      <c r="K309" s="20" t="n"/>
      <c r="L309" s="20" t="n"/>
      <c r="M309" s="20" t="n"/>
      <c r="N309" s="20">
        <f>IF(OR(E309="",M309="Entregue",M309="Cancelado",J309=""),"",IF(J309&lt;TODAY(),"ATRASADO",IF(J309=TODAY(),"ENTREGA HOJE","")))</f>
        <v/>
      </c>
    </row>
    <row r="310">
      <c r="A310" s="18" t="n"/>
      <c r="B310" s="19" t="n"/>
      <c r="C310" s="20" t="n"/>
      <c r="D310" s="20" t="n"/>
      <c r="E310" s="20" t="n"/>
      <c r="F310" s="18" t="n"/>
      <c r="G310" s="21">
        <f>IF(E310="","",IFERROR(VLOOKUP(E310,'Catálogo'!$A$5:$B$504,2,FALSE),0))</f>
        <v/>
      </c>
      <c r="H310" s="21" t="n"/>
      <c r="I310" s="21">
        <f>IF(E310="","",MAX(F310*G310-N(H310),0))</f>
        <v/>
      </c>
      <c r="J310" s="19" t="n"/>
      <c r="K310" s="20" t="n"/>
      <c r="L310" s="20" t="n"/>
      <c r="M310" s="20" t="n"/>
      <c r="N310" s="20">
        <f>IF(OR(E310="",M310="Entregue",M310="Cancelado",J310=""),"",IF(J310&lt;TODAY(),"ATRASADO",IF(J310=TODAY(),"ENTREGA HOJE","")))</f>
        <v/>
      </c>
    </row>
    <row r="311">
      <c r="A311" s="18" t="n"/>
      <c r="B311" s="19" t="n"/>
      <c r="C311" s="20" t="n"/>
      <c r="D311" s="20" t="n"/>
      <c r="E311" s="20" t="n"/>
      <c r="F311" s="18" t="n"/>
      <c r="G311" s="21">
        <f>IF(E311="","",IFERROR(VLOOKUP(E311,'Catálogo'!$A$5:$B$504,2,FALSE),0))</f>
        <v/>
      </c>
      <c r="H311" s="21" t="n"/>
      <c r="I311" s="21">
        <f>IF(E311="","",MAX(F311*G311-N(H311),0))</f>
        <v/>
      </c>
      <c r="J311" s="19" t="n"/>
      <c r="K311" s="20" t="n"/>
      <c r="L311" s="20" t="n"/>
      <c r="M311" s="20" t="n"/>
      <c r="N311" s="20">
        <f>IF(OR(E311="",M311="Entregue",M311="Cancelado",J311=""),"",IF(J311&lt;TODAY(),"ATRASADO",IF(J311=TODAY(),"ENTREGA HOJE","")))</f>
        <v/>
      </c>
    </row>
    <row r="312">
      <c r="A312" s="18" t="n"/>
      <c r="B312" s="19" t="n"/>
      <c r="C312" s="20" t="n"/>
      <c r="D312" s="20" t="n"/>
      <c r="E312" s="20" t="n"/>
      <c r="F312" s="18" t="n"/>
      <c r="G312" s="21">
        <f>IF(E312="","",IFERROR(VLOOKUP(E312,'Catálogo'!$A$5:$B$504,2,FALSE),0))</f>
        <v/>
      </c>
      <c r="H312" s="21" t="n"/>
      <c r="I312" s="21">
        <f>IF(E312="","",MAX(F312*G312-N(H312),0))</f>
        <v/>
      </c>
      <c r="J312" s="19" t="n"/>
      <c r="K312" s="20" t="n"/>
      <c r="L312" s="20" t="n"/>
      <c r="M312" s="20" t="n"/>
      <c r="N312" s="20">
        <f>IF(OR(E312="",M312="Entregue",M312="Cancelado",J312=""),"",IF(J312&lt;TODAY(),"ATRASADO",IF(J312=TODAY(),"ENTREGA HOJE","")))</f>
        <v/>
      </c>
    </row>
    <row r="313">
      <c r="A313" s="18" t="n"/>
      <c r="B313" s="19" t="n"/>
      <c r="C313" s="20" t="n"/>
      <c r="D313" s="20" t="n"/>
      <c r="E313" s="20" t="n"/>
      <c r="F313" s="18" t="n"/>
      <c r="G313" s="21">
        <f>IF(E313="","",IFERROR(VLOOKUP(E313,'Catálogo'!$A$5:$B$504,2,FALSE),0))</f>
        <v/>
      </c>
      <c r="H313" s="21" t="n"/>
      <c r="I313" s="21">
        <f>IF(E313="","",MAX(F313*G313-N(H313),0))</f>
        <v/>
      </c>
      <c r="J313" s="19" t="n"/>
      <c r="K313" s="20" t="n"/>
      <c r="L313" s="20" t="n"/>
      <c r="M313" s="20" t="n"/>
      <c r="N313" s="20">
        <f>IF(OR(E313="",M313="Entregue",M313="Cancelado",J313=""),"",IF(J313&lt;TODAY(),"ATRASADO",IF(J313=TODAY(),"ENTREGA HOJE","")))</f>
        <v/>
      </c>
    </row>
    <row r="314">
      <c r="A314" s="18" t="n"/>
      <c r="B314" s="19" t="n"/>
      <c r="C314" s="20" t="n"/>
      <c r="D314" s="20" t="n"/>
      <c r="E314" s="20" t="n"/>
      <c r="F314" s="18" t="n"/>
      <c r="G314" s="21">
        <f>IF(E314="","",IFERROR(VLOOKUP(E314,'Catálogo'!$A$5:$B$504,2,FALSE),0))</f>
        <v/>
      </c>
      <c r="H314" s="21" t="n"/>
      <c r="I314" s="21">
        <f>IF(E314="","",MAX(F314*G314-N(H314),0))</f>
        <v/>
      </c>
      <c r="J314" s="19" t="n"/>
      <c r="K314" s="20" t="n"/>
      <c r="L314" s="20" t="n"/>
      <c r="M314" s="20" t="n"/>
      <c r="N314" s="20">
        <f>IF(OR(E314="",M314="Entregue",M314="Cancelado",J314=""),"",IF(J314&lt;TODAY(),"ATRASADO",IF(J314=TODAY(),"ENTREGA HOJE","")))</f>
        <v/>
      </c>
    </row>
    <row r="315">
      <c r="A315" s="18" t="n"/>
      <c r="B315" s="19" t="n"/>
      <c r="C315" s="20" t="n"/>
      <c r="D315" s="20" t="n"/>
      <c r="E315" s="20" t="n"/>
      <c r="F315" s="18" t="n"/>
      <c r="G315" s="21">
        <f>IF(E315="","",IFERROR(VLOOKUP(E315,'Catálogo'!$A$5:$B$504,2,FALSE),0))</f>
        <v/>
      </c>
      <c r="H315" s="21" t="n"/>
      <c r="I315" s="21">
        <f>IF(E315="","",MAX(F315*G315-N(H315),0))</f>
        <v/>
      </c>
      <c r="J315" s="19" t="n"/>
      <c r="K315" s="20" t="n"/>
      <c r="L315" s="20" t="n"/>
      <c r="M315" s="20" t="n"/>
      <c r="N315" s="20">
        <f>IF(OR(E315="",M315="Entregue",M315="Cancelado",J315=""),"",IF(J315&lt;TODAY(),"ATRASADO",IF(J315=TODAY(),"ENTREGA HOJE","")))</f>
        <v/>
      </c>
    </row>
    <row r="316">
      <c r="A316" s="18" t="n"/>
      <c r="B316" s="19" t="n"/>
      <c r="C316" s="20" t="n"/>
      <c r="D316" s="20" t="n"/>
      <c r="E316" s="20" t="n"/>
      <c r="F316" s="18" t="n"/>
      <c r="G316" s="21">
        <f>IF(E316="","",IFERROR(VLOOKUP(E316,'Catálogo'!$A$5:$B$504,2,FALSE),0))</f>
        <v/>
      </c>
      <c r="H316" s="21" t="n"/>
      <c r="I316" s="21">
        <f>IF(E316="","",MAX(F316*G316-N(H316),0))</f>
        <v/>
      </c>
      <c r="J316" s="19" t="n"/>
      <c r="K316" s="20" t="n"/>
      <c r="L316" s="20" t="n"/>
      <c r="M316" s="20" t="n"/>
      <c r="N316" s="20">
        <f>IF(OR(E316="",M316="Entregue",M316="Cancelado",J316=""),"",IF(J316&lt;TODAY(),"ATRASADO",IF(J316=TODAY(),"ENTREGA HOJE","")))</f>
        <v/>
      </c>
    </row>
    <row r="317">
      <c r="A317" s="18" t="n"/>
      <c r="B317" s="19" t="n"/>
      <c r="C317" s="20" t="n"/>
      <c r="D317" s="20" t="n"/>
      <c r="E317" s="20" t="n"/>
      <c r="F317" s="18" t="n"/>
      <c r="G317" s="21">
        <f>IF(E317="","",IFERROR(VLOOKUP(E317,'Catálogo'!$A$5:$B$504,2,FALSE),0))</f>
        <v/>
      </c>
      <c r="H317" s="21" t="n"/>
      <c r="I317" s="21">
        <f>IF(E317="","",MAX(F317*G317-N(H317),0))</f>
        <v/>
      </c>
      <c r="J317" s="19" t="n"/>
      <c r="K317" s="20" t="n"/>
      <c r="L317" s="20" t="n"/>
      <c r="M317" s="20" t="n"/>
      <c r="N317" s="20">
        <f>IF(OR(E317="",M317="Entregue",M317="Cancelado",J317=""),"",IF(J317&lt;TODAY(),"ATRASADO",IF(J317=TODAY(),"ENTREGA HOJE","")))</f>
        <v/>
      </c>
    </row>
    <row r="318">
      <c r="A318" s="18" t="n"/>
      <c r="B318" s="19" t="n"/>
      <c r="C318" s="20" t="n"/>
      <c r="D318" s="20" t="n"/>
      <c r="E318" s="20" t="n"/>
      <c r="F318" s="18" t="n"/>
      <c r="G318" s="21">
        <f>IF(E318="","",IFERROR(VLOOKUP(E318,'Catálogo'!$A$5:$B$504,2,FALSE),0))</f>
        <v/>
      </c>
      <c r="H318" s="21" t="n"/>
      <c r="I318" s="21">
        <f>IF(E318="","",MAX(F318*G318-N(H318),0))</f>
        <v/>
      </c>
      <c r="J318" s="19" t="n"/>
      <c r="K318" s="20" t="n"/>
      <c r="L318" s="20" t="n"/>
      <c r="M318" s="20" t="n"/>
      <c r="N318" s="20">
        <f>IF(OR(E318="",M318="Entregue",M318="Cancelado",J318=""),"",IF(J318&lt;TODAY(),"ATRASADO",IF(J318=TODAY(),"ENTREGA HOJE","")))</f>
        <v/>
      </c>
    </row>
    <row r="319">
      <c r="A319" s="18" t="n"/>
      <c r="B319" s="19" t="n"/>
      <c r="C319" s="20" t="n"/>
      <c r="D319" s="20" t="n"/>
      <c r="E319" s="20" t="n"/>
      <c r="F319" s="18" t="n"/>
      <c r="G319" s="21">
        <f>IF(E319="","",IFERROR(VLOOKUP(E319,'Catálogo'!$A$5:$B$504,2,FALSE),0))</f>
        <v/>
      </c>
      <c r="H319" s="21" t="n"/>
      <c r="I319" s="21">
        <f>IF(E319="","",MAX(F319*G319-N(H319),0))</f>
        <v/>
      </c>
      <c r="J319" s="19" t="n"/>
      <c r="K319" s="20" t="n"/>
      <c r="L319" s="20" t="n"/>
      <c r="M319" s="20" t="n"/>
      <c r="N319" s="20">
        <f>IF(OR(E319="",M319="Entregue",M319="Cancelado",J319=""),"",IF(J319&lt;TODAY(),"ATRASADO",IF(J319=TODAY(),"ENTREGA HOJE","")))</f>
        <v/>
      </c>
    </row>
    <row r="320">
      <c r="A320" s="18" t="n"/>
      <c r="B320" s="19" t="n"/>
      <c r="C320" s="20" t="n"/>
      <c r="D320" s="20" t="n"/>
      <c r="E320" s="20" t="n"/>
      <c r="F320" s="18" t="n"/>
      <c r="G320" s="21">
        <f>IF(E320="","",IFERROR(VLOOKUP(E320,'Catálogo'!$A$5:$B$504,2,FALSE),0))</f>
        <v/>
      </c>
      <c r="H320" s="21" t="n"/>
      <c r="I320" s="21">
        <f>IF(E320="","",MAX(F320*G320-N(H320),0))</f>
        <v/>
      </c>
      <c r="J320" s="19" t="n"/>
      <c r="K320" s="20" t="n"/>
      <c r="L320" s="20" t="n"/>
      <c r="M320" s="20" t="n"/>
      <c r="N320" s="20">
        <f>IF(OR(E320="",M320="Entregue",M320="Cancelado",J320=""),"",IF(J320&lt;TODAY(),"ATRASADO",IF(J320=TODAY(),"ENTREGA HOJE","")))</f>
        <v/>
      </c>
    </row>
    <row r="321">
      <c r="A321" s="18" t="n"/>
      <c r="B321" s="19" t="n"/>
      <c r="C321" s="20" t="n"/>
      <c r="D321" s="20" t="n"/>
      <c r="E321" s="20" t="n"/>
      <c r="F321" s="18" t="n"/>
      <c r="G321" s="21">
        <f>IF(E321="","",IFERROR(VLOOKUP(E321,'Catálogo'!$A$5:$B$504,2,FALSE),0))</f>
        <v/>
      </c>
      <c r="H321" s="21" t="n"/>
      <c r="I321" s="21">
        <f>IF(E321="","",MAX(F321*G321-N(H321),0))</f>
        <v/>
      </c>
      <c r="J321" s="19" t="n"/>
      <c r="K321" s="20" t="n"/>
      <c r="L321" s="20" t="n"/>
      <c r="M321" s="20" t="n"/>
      <c r="N321" s="20">
        <f>IF(OR(E321="",M321="Entregue",M321="Cancelado",J321=""),"",IF(J321&lt;TODAY(),"ATRASADO",IF(J321=TODAY(),"ENTREGA HOJE","")))</f>
        <v/>
      </c>
    </row>
    <row r="322">
      <c r="A322" s="18" t="n"/>
      <c r="B322" s="19" t="n"/>
      <c r="C322" s="20" t="n"/>
      <c r="D322" s="20" t="n"/>
      <c r="E322" s="20" t="n"/>
      <c r="F322" s="18" t="n"/>
      <c r="G322" s="21">
        <f>IF(E322="","",IFERROR(VLOOKUP(E322,'Catálogo'!$A$5:$B$504,2,FALSE),0))</f>
        <v/>
      </c>
      <c r="H322" s="21" t="n"/>
      <c r="I322" s="21">
        <f>IF(E322="","",MAX(F322*G322-N(H322),0))</f>
        <v/>
      </c>
      <c r="J322" s="19" t="n"/>
      <c r="K322" s="20" t="n"/>
      <c r="L322" s="20" t="n"/>
      <c r="M322" s="20" t="n"/>
      <c r="N322" s="20">
        <f>IF(OR(E322="",M322="Entregue",M322="Cancelado",J322=""),"",IF(J322&lt;TODAY(),"ATRASADO",IF(J322=TODAY(),"ENTREGA HOJE","")))</f>
        <v/>
      </c>
    </row>
    <row r="323">
      <c r="A323" s="18" t="n"/>
      <c r="B323" s="19" t="n"/>
      <c r="C323" s="20" t="n"/>
      <c r="D323" s="20" t="n"/>
      <c r="E323" s="20" t="n"/>
      <c r="F323" s="18" t="n"/>
      <c r="G323" s="21">
        <f>IF(E323="","",IFERROR(VLOOKUP(E323,'Catálogo'!$A$5:$B$504,2,FALSE),0))</f>
        <v/>
      </c>
      <c r="H323" s="21" t="n"/>
      <c r="I323" s="21">
        <f>IF(E323="","",MAX(F323*G323-N(H323),0))</f>
        <v/>
      </c>
      <c r="J323" s="19" t="n"/>
      <c r="K323" s="20" t="n"/>
      <c r="L323" s="20" t="n"/>
      <c r="M323" s="20" t="n"/>
      <c r="N323" s="20">
        <f>IF(OR(E323="",M323="Entregue",M323="Cancelado",J323=""),"",IF(J323&lt;TODAY(),"ATRASADO",IF(J323=TODAY(),"ENTREGA HOJE","")))</f>
        <v/>
      </c>
    </row>
    <row r="324">
      <c r="A324" s="18" t="n"/>
      <c r="B324" s="19" t="n"/>
      <c r="C324" s="20" t="n"/>
      <c r="D324" s="20" t="n"/>
      <c r="E324" s="20" t="n"/>
      <c r="F324" s="18" t="n"/>
      <c r="G324" s="21">
        <f>IF(E324="","",IFERROR(VLOOKUP(E324,'Catálogo'!$A$5:$B$504,2,FALSE),0))</f>
        <v/>
      </c>
      <c r="H324" s="21" t="n"/>
      <c r="I324" s="21">
        <f>IF(E324="","",MAX(F324*G324-N(H324),0))</f>
        <v/>
      </c>
      <c r="J324" s="19" t="n"/>
      <c r="K324" s="20" t="n"/>
      <c r="L324" s="20" t="n"/>
      <c r="M324" s="20" t="n"/>
      <c r="N324" s="20">
        <f>IF(OR(E324="",M324="Entregue",M324="Cancelado",J324=""),"",IF(J324&lt;TODAY(),"ATRASADO",IF(J324=TODAY(),"ENTREGA HOJE","")))</f>
        <v/>
      </c>
    </row>
    <row r="325">
      <c r="A325" s="18" t="n"/>
      <c r="B325" s="19" t="n"/>
      <c r="C325" s="20" t="n"/>
      <c r="D325" s="20" t="n"/>
      <c r="E325" s="20" t="n"/>
      <c r="F325" s="18" t="n"/>
      <c r="G325" s="21">
        <f>IF(E325="","",IFERROR(VLOOKUP(E325,'Catálogo'!$A$5:$B$504,2,FALSE),0))</f>
        <v/>
      </c>
      <c r="H325" s="21" t="n"/>
      <c r="I325" s="21">
        <f>IF(E325="","",MAX(F325*G325-N(H325),0))</f>
        <v/>
      </c>
      <c r="J325" s="19" t="n"/>
      <c r="K325" s="20" t="n"/>
      <c r="L325" s="20" t="n"/>
      <c r="M325" s="20" t="n"/>
      <c r="N325" s="20">
        <f>IF(OR(E325="",M325="Entregue",M325="Cancelado",J325=""),"",IF(J325&lt;TODAY(),"ATRASADO",IF(J325=TODAY(),"ENTREGA HOJE","")))</f>
        <v/>
      </c>
    </row>
    <row r="326">
      <c r="A326" s="18" t="n"/>
      <c r="B326" s="19" t="n"/>
      <c r="C326" s="20" t="n"/>
      <c r="D326" s="20" t="n"/>
      <c r="E326" s="20" t="n"/>
      <c r="F326" s="18" t="n"/>
      <c r="G326" s="21">
        <f>IF(E326="","",IFERROR(VLOOKUP(E326,'Catálogo'!$A$5:$B$504,2,FALSE),0))</f>
        <v/>
      </c>
      <c r="H326" s="21" t="n"/>
      <c r="I326" s="21">
        <f>IF(E326="","",MAX(F326*G326-N(H326),0))</f>
        <v/>
      </c>
      <c r="J326" s="19" t="n"/>
      <c r="K326" s="20" t="n"/>
      <c r="L326" s="20" t="n"/>
      <c r="M326" s="20" t="n"/>
      <c r="N326" s="20">
        <f>IF(OR(E326="",M326="Entregue",M326="Cancelado",J326=""),"",IF(J326&lt;TODAY(),"ATRASADO",IF(J326=TODAY(),"ENTREGA HOJE","")))</f>
        <v/>
      </c>
    </row>
    <row r="327">
      <c r="A327" s="18" t="n"/>
      <c r="B327" s="19" t="n"/>
      <c r="C327" s="20" t="n"/>
      <c r="D327" s="20" t="n"/>
      <c r="E327" s="20" t="n"/>
      <c r="F327" s="18" t="n"/>
      <c r="G327" s="21">
        <f>IF(E327="","",IFERROR(VLOOKUP(E327,'Catálogo'!$A$5:$B$504,2,FALSE),0))</f>
        <v/>
      </c>
      <c r="H327" s="21" t="n"/>
      <c r="I327" s="21">
        <f>IF(E327="","",MAX(F327*G327-N(H327),0))</f>
        <v/>
      </c>
      <c r="J327" s="19" t="n"/>
      <c r="K327" s="20" t="n"/>
      <c r="L327" s="20" t="n"/>
      <c r="M327" s="20" t="n"/>
      <c r="N327" s="20">
        <f>IF(OR(E327="",M327="Entregue",M327="Cancelado",J327=""),"",IF(J327&lt;TODAY(),"ATRASADO",IF(J327=TODAY(),"ENTREGA HOJE","")))</f>
        <v/>
      </c>
    </row>
    <row r="328">
      <c r="A328" s="18" t="n"/>
      <c r="B328" s="19" t="n"/>
      <c r="C328" s="20" t="n"/>
      <c r="D328" s="20" t="n"/>
      <c r="E328" s="20" t="n"/>
      <c r="F328" s="18" t="n"/>
      <c r="G328" s="21">
        <f>IF(E328="","",IFERROR(VLOOKUP(E328,'Catálogo'!$A$5:$B$504,2,FALSE),0))</f>
        <v/>
      </c>
      <c r="H328" s="21" t="n"/>
      <c r="I328" s="21">
        <f>IF(E328="","",MAX(F328*G328-N(H328),0))</f>
        <v/>
      </c>
      <c r="J328" s="19" t="n"/>
      <c r="K328" s="20" t="n"/>
      <c r="L328" s="20" t="n"/>
      <c r="M328" s="20" t="n"/>
      <c r="N328" s="20">
        <f>IF(OR(E328="",M328="Entregue",M328="Cancelado",J328=""),"",IF(J328&lt;TODAY(),"ATRASADO",IF(J328=TODAY(),"ENTREGA HOJE","")))</f>
        <v/>
      </c>
    </row>
    <row r="329">
      <c r="A329" s="18" t="n"/>
      <c r="B329" s="19" t="n"/>
      <c r="C329" s="20" t="n"/>
      <c r="D329" s="20" t="n"/>
      <c r="E329" s="20" t="n"/>
      <c r="F329" s="18" t="n"/>
      <c r="G329" s="21">
        <f>IF(E329="","",IFERROR(VLOOKUP(E329,'Catálogo'!$A$5:$B$504,2,FALSE),0))</f>
        <v/>
      </c>
      <c r="H329" s="21" t="n"/>
      <c r="I329" s="21">
        <f>IF(E329="","",MAX(F329*G329-N(H329),0))</f>
        <v/>
      </c>
      <c r="J329" s="19" t="n"/>
      <c r="K329" s="20" t="n"/>
      <c r="L329" s="20" t="n"/>
      <c r="M329" s="20" t="n"/>
      <c r="N329" s="20">
        <f>IF(OR(E329="",M329="Entregue",M329="Cancelado",J329=""),"",IF(J329&lt;TODAY(),"ATRASADO",IF(J329=TODAY(),"ENTREGA HOJE","")))</f>
        <v/>
      </c>
    </row>
    <row r="330">
      <c r="A330" s="18" t="n"/>
      <c r="B330" s="19" t="n"/>
      <c r="C330" s="20" t="n"/>
      <c r="D330" s="20" t="n"/>
      <c r="E330" s="20" t="n"/>
      <c r="F330" s="18" t="n"/>
      <c r="G330" s="21">
        <f>IF(E330="","",IFERROR(VLOOKUP(E330,'Catálogo'!$A$5:$B$504,2,FALSE),0))</f>
        <v/>
      </c>
      <c r="H330" s="21" t="n"/>
      <c r="I330" s="21">
        <f>IF(E330="","",MAX(F330*G330-N(H330),0))</f>
        <v/>
      </c>
      <c r="J330" s="19" t="n"/>
      <c r="K330" s="20" t="n"/>
      <c r="L330" s="20" t="n"/>
      <c r="M330" s="20" t="n"/>
      <c r="N330" s="20">
        <f>IF(OR(E330="",M330="Entregue",M330="Cancelado",J330=""),"",IF(J330&lt;TODAY(),"ATRASADO",IF(J330=TODAY(),"ENTREGA HOJE","")))</f>
        <v/>
      </c>
    </row>
    <row r="331">
      <c r="A331" s="18" t="n"/>
      <c r="B331" s="19" t="n"/>
      <c r="C331" s="20" t="n"/>
      <c r="D331" s="20" t="n"/>
      <c r="E331" s="20" t="n"/>
      <c r="F331" s="18" t="n"/>
      <c r="G331" s="21">
        <f>IF(E331="","",IFERROR(VLOOKUP(E331,'Catálogo'!$A$5:$B$504,2,FALSE),0))</f>
        <v/>
      </c>
      <c r="H331" s="21" t="n"/>
      <c r="I331" s="21">
        <f>IF(E331="","",MAX(F331*G331-N(H331),0))</f>
        <v/>
      </c>
      <c r="J331" s="19" t="n"/>
      <c r="K331" s="20" t="n"/>
      <c r="L331" s="20" t="n"/>
      <c r="M331" s="20" t="n"/>
      <c r="N331" s="20">
        <f>IF(OR(E331="",M331="Entregue",M331="Cancelado",J331=""),"",IF(J331&lt;TODAY(),"ATRASADO",IF(J331=TODAY(),"ENTREGA HOJE","")))</f>
        <v/>
      </c>
    </row>
    <row r="332">
      <c r="A332" s="18" t="n"/>
      <c r="B332" s="19" t="n"/>
      <c r="C332" s="20" t="n"/>
      <c r="D332" s="20" t="n"/>
      <c r="E332" s="20" t="n"/>
      <c r="F332" s="18" t="n"/>
      <c r="G332" s="21">
        <f>IF(E332="","",IFERROR(VLOOKUP(E332,'Catálogo'!$A$5:$B$504,2,FALSE),0))</f>
        <v/>
      </c>
      <c r="H332" s="21" t="n"/>
      <c r="I332" s="21">
        <f>IF(E332="","",MAX(F332*G332-N(H332),0))</f>
        <v/>
      </c>
      <c r="J332" s="19" t="n"/>
      <c r="K332" s="20" t="n"/>
      <c r="L332" s="20" t="n"/>
      <c r="M332" s="20" t="n"/>
      <c r="N332" s="20">
        <f>IF(OR(E332="",M332="Entregue",M332="Cancelado",J332=""),"",IF(J332&lt;TODAY(),"ATRASADO",IF(J332=TODAY(),"ENTREGA HOJE","")))</f>
        <v/>
      </c>
    </row>
    <row r="333">
      <c r="A333" s="18" t="n"/>
      <c r="B333" s="19" t="n"/>
      <c r="C333" s="20" t="n"/>
      <c r="D333" s="20" t="n"/>
      <c r="E333" s="20" t="n"/>
      <c r="F333" s="18" t="n"/>
      <c r="G333" s="21">
        <f>IF(E333="","",IFERROR(VLOOKUP(E333,'Catálogo'!$A$5:$B$504,2,FALSE),0))</f>
        <v/>
      </c>
      <c r="H333" s="21" t="n"/>
      <c r="I333" s="21">
        <f>IF(E333="","",MAX(F333*G333-N(H333),0))</f>
        <v/>
      </c>
      <c r="J333" s="19" t="n"/>
      <c r="K333" s="20" t="n"/>
      <c r="L333" s="20" t="n"/>
      <c r="M333" s="20" t="n"/>
      <c r="N333" s="20">
        <f>IF(OR(E333="",M333="Entregue",M333="Cancelado",J333=""),"",IF(J333&lt;TODAY(),"ATRASADO",IF(J333=TODAY(),"ENTREGA HOJE","")))</f>
        <v/>
      </c>
    </row>
    <row r="334">
      <c r="A334" s="18" t="n"/>
      <c r="B334" s="19" t="n"/>
      <c r="C334" s="20" t="n"/>
      <c r="D334" s="20" t="n"/>
      <c r="E334" s="20" t="n"/>
      <c r="F334" s="18" t="n"/>
      <c r="G334" s="21">
        <f>IF(E334="","",IFERROR(VLOOKUP(E334,'Catálogo'!$A$5:$B$504,2,FALSE),0))</f>
        <v/>
      </c>
      <c r="H334" s="21" t="n"/>
      <c r="I334" s="21">
        <f>IF(E334="","",MAX(F334*G334-N(H334),0))</f>
        <v/>
      </c>
      <c r="J334" s="19" t="n"/>
      <c r="K334" s="20" t="n"/>
      <c r="L334" s="20" t="n"/>
      <c r="M334" s="20" t="n"/>
      <c r="N334" s="20">
        <f>IF(OR(E334="",M334="Entregue",M334="Cancelado",J334=""),"",IF(J334&lt;TODAY(),"ATRASADO",IF(J334=TODAY(),"ENTREGA HOJE","")))</f>
        <v/>
      </c>
    </row>
    <row r="335">
      <c r="A335" s="18" t="n"/>
      <c r="B335" s="19" t="n"/>
      <c r="C335" s="20" t="n"/>
      <c r="D335" s="20" t="n"/>
      <c r="E335" s="20" t="n"/>
      <c r="F335" s="18" t="n"/>
      <c r="G335" s="21">
        <f>IF(E335="","",IFERROR(VLOOKUP(E335,'Catálogo'!$A$5:$B$504,2,FALSE),0))</f>
        <v/>
      </c>
      <c r="H335" s="21" t="n"/>
      <c r="I335" s="21">
        <f>IF(E335="","",MAX(F335*G335-N(H335),0))</f>
        <v/>
      </c>
      <c r="J335" s="19" t="n"/>
      <c r="K335" s="20" t="n"/>
      <c r="L335" s="20" t="n"/>
      <c r="M335" s="20" t="n"/>
      <c r="N335" s="20">
        <f>IF(OR(E335="",M335="Entregue",M335="Cancelado",J335=""),"",IF(J335&lt;TODAY(),"ATRASADO",IF(J335=TODAY(),"ENTREGA HOJE","")))</f>
        <v/>
      </c>
    </row>
    <row r="336">
      <c r="A336" s="18" t="n"/>
      <c r="B336" s="19" t="n"/>
      <c r="C336" s="20" t="n"/>
      <c r="D336" s="20" t="n"/>
      <c r="E336" s="20" t="n"/>
      <c r="F336" s="18" t="n"/>
      <c r="G336" s="21">
        <f>IF(E336="","",IFERROR(VLOOKUP(E336,'Catálogo'!$A$5:$B$504,2,FALSE),0))</f>
        <v/>
      </c>
      <c r="H336" s="21" t="n"/>
      <c r="I336" s="21">
        <f>IF(E336="","",MAX(F336*G336-N(H336),0))</f>
        <v/>
      </c>
      <c r="J336" s="19" t="n"/>
      <c r="K336" s="20" t="n"/>
      <c r="L336" s="20" t="n"/>
      <c r="M336" s="20" t="n"/>
      <c r="N336" s="20">
        <f>IF(OR(E336="",M336="Entregue",M336="Cancelado",J336=""),"",IF(J336&lt;TODAY(),"ATRASADO",IF(J336=TODAY(),"ENTREGA HOJE","")))</f>
        <v/>
      </c>
    </row>
    <row r="337">
      <c r="A337" s="18" t="n"/>
      <c r="B337" s="19" t="n"/>
      <c r="C337" s="20" t="n"/>
      <c r="D337" s="20" t="n"/>
      <c r="E337" s="20" t="n"/>
      <c r="F337" s="18" t="n"/>
      <c r="G337" s="21">
        <f>IF(E337="","",IFERROR(VLOOKUP(E337,'Catálogo'!$A$5:$B$504,2,FALSE),0))</f>
        <v/>
      </c>
      <c r="H337" s="21" t="n"/>
      <c r="I337" s="21">
        <f>IF(E337="","",MAX(F337*G337-N(H337),0))</f>
        <v/>
      </c>
      <c r="J337" s="19" t="n"/>
      <c r="K337" s="20" t="n"/>
      <c r="L337" s="20" t="n"/>
      <c r="M337" s="20" t="n"/>
      <c r="N337" s="20">
        <f>IF(OR(E337="",M337="Entregue",M337="Cancelado",J337=""),"",IF(J337&lt;TODAY(),"ATRASADO",IF(J337=TODAY(),"ENTREGA HOJE","")))</f>
        <v/>
      </c>
    </row>
    <row r="338">
      <c r="A338" s="18" t="n"/>
      <c r="B338" s="19" t="n"/>
      <c r="C338" s="20" t="n"/>
      <c r="D338" s="20" t="n"/>
      <c r="E338" s="20" t="n"/>
      <c r="F338" s="18" t="n"/>
      <c r="G338" s="21">
        <f>IF(E338="","",IFERROR(VLOOKUP(E338,'Catálogo'!$A$5:$B$504,2,FALSE),0))</f>
        <v/>
      </c>
      <c r="H338" s="21" t="n"/>
      <c r="I338" s="21">
        <f>IF(E338="","",MAX(F338*G338-N(H338),0))</f>
        <v/>
      </c>
      <c r="J338" s="19" t="n"/>
      <c r="K338" s="20" t="n"/>
      <c r="L338" s="20" t="n"/>
      <c r="M338" s="20" t="n"/>
      <c r="N338" s="20">
        <f>IF(OR(E338="",M338="Entregue",M338="Cancelado",J338=""),"",IF(J338&lt;TODAY(),"ATRASADO",IF(J338=TODAY(),"ENTREGA HOJE","")))</f>
        <v/>
      </c>
    </row>
    <row r="339">
      <c r="A339" s="18" t="n"/>
      <c r="B339" s="19" t="n"/>
      <c r="C339" s="20" t="n"/>
      <c r="D339" s="20" t="n"/>
      <c r="E339" s="20" t="n"/>
      <c r="F339" s="18" t="n"/>
      <c r="G339" s="21">
        <f>IF(E339="","",IFERROR(VLOOKUP(E339,'Catálogo'!$A$5:$B$504,2,FALSE),0))</f>
        <v/>
      </c>
      <c r="H339" s="21" t="n"/>
      <c r="I339" s="21">
        <f>IF(E339="","",MAX(F339*G339-N(H339),0))</f>
        <v/>
      </c>
      <c r="J339" s="19" t="n"/>
      <c r="K339" s="20" t="n"/>
      <c r="L339" s="20" t="n"/>
      <c r="M339" s="20" t="n"/>
      <c r="N339" s="20">
        <f>IF(OR(E339="",M339="Entregue",M339="Cancelado",J339=""),"",IF(J339&lt;TODAY(),"ATRASADO",IF(J339=TODAY(),"ENTREGA HOJE","")))</f>
        <v/>
      </c>
    </row>
    <row r="340">
      <c r="A340" s="18" t="n"/>
      <c r="B340" s="19" t="n"/>
      <c r="C340" s="20" t="n"/>
      <c r="D340" s="20" t="n"/>
      <c r="E340" s="20" t="n"/>
      <c r="F340" s="18" t="n"/>
      <c r="G340" s="21">
        <f>IF(E340="","",IFERROR(VLOOKUP(E340,'Catálogo'!$A$5:$B$504,2,FALSE),0))</f>
        <v/>
      </c>
      <c r="H340" s="21" t="n"/>
      <c r="I340" s="21">
        <f>IF(E340="","",MAX(F340*G340-N(H340),0))</f>
        <v/>
      </c>
      <c r="J340" s="19" t="n"/>
      <c r="K340" s="20" t="n"/>
      <c r="L340" s="20" t="n"/>
      <c r="M340" s="20" t="n"/>
      <c r="N340" s="20">
        <f>IF(OR(E340="",M340="Entregue",M340="Cancelado",J340=""),"",IF(J340&lt;TODAY(),"ATRASADO",IF(J340=TODAY(),"ENTREGA HOJE","")))</f>
        <v/>
      </c>
    </row>
    <row r="341">
      <c r="A341" s="18" t="n"/>
      <c r="B341" s="19" t="n"/>
      <c r="C341" s="20" t="n"/>
      <c r="D341" s="20" t="n"/>
      <c r="E341" s="20" t="n"/>
      <c r="F341" s="18" t="n"/>
      <c r="G341" s="21">
        <f>IF(E341="","",IFERROR(VLOOKUP(E341,'Catálogo'!$A$5:$B$504,2,FALSE),0))</f>
        <v/>
      </c>
      <c r="H341" s="21" t="n"/>
      <c r="I341" s="21">
        <f>IF(E341="","",MAX(F341*G341-N(H341),0))</f>
        <v/>
      </c>
      <c r="J341" s="19" t="n"/>
      <c r="K341" s="20" t="n"/>
      <c r="L341" s="20" t="n"/>
      <c r="M341" s="20" t="n"/>
      <c r="N341" s="20">
        <f>IF(OR(E341="",M341="Entregue",M341="Cancelado",J341=""),"",IF(J341&lt;TODAY(),"ATRASADO",IF(J341=TODAY(),"ENTREGA HOJE","")))</f>
        <v/>
      </c>
    </row>
    <row r="342">
      <c r="A342" s="18" t="n"/>
      <c r="B342" s="19" t="n"/>
      <c r="C342" s="20" t="n"/>
      <c r="D342" s="20" t="n"/>
      <c r="E342" s="20" t="n"/>
      <c r="F342" s="18" t="n"/>
      <c r="G342" s="21">
        <f>IF(E342="","",IFERROR(VLOOKUP(E342,'Catálogo'!$A$5:$B$504,2,FALSE),0))</f>
        <v/>
      </c>
      <c r="H342" s="21" t="n"/>
      <c r="I342" s="21">
        <f>IF(E342="","",MAX(F342*G342-N(H342),0))</f>
        <v/>
      </c>
      <c r="J342" s="19" t="n"/>
      <c r="K342" s="20" t="n"/>
      <c r="L342" s="20" t="n"/>
      <c r="M342" s="20" t="n"/>
      <c r="N342" s="20">
        <f>IF(OR(E342="",M342="Entregue",M342="Cancelado",J342=""),"",IF(J342&lt;TODAY(),"ATRASADO",IF(J342=TODAY(),"ENTREGA HOJE","")))</f>
        <v/>
      </c>
    </row>
    <row r="343">
      <c r="A343" s="18" t="n"/>
      <c r="B343" s="19" t="n"/>
      <c r="C343" s="20" t="n"/>
      <c r="D343" s="20" t="n"/>
      <c r="E343" s="20" t="n"/>
      <c r="F343" s="18" t="n"/>
      <c r="G343" s="21">
        <f>IF(E343="","",IFERROR(VLOOKUP(E343,'Catálogo'!$A$5:$B$504,2,FALSE),0))</f>
        <v/>
      </c>
      <c r="H343" s="21" t="n"/>
      <c r="I343" s="21">
        <f>IF(E343="","",MAX(F343*G343-N(H343),0))</f>
        <v/>
      </c>
      <c r="J343" s="19" t="n"/>
      <c r="K343" s="20" t="n"/>
      <c r="L343" s="20" t="n"/>
      <c r="M343" s="20" t="n"/>
      <c r="N343" s="20">
        <f>IF(OR(E343="",M343="Entregue",M343="Cancelado",J343=""),"",IF(J343&lt;TODAY(),"ATRASADO",IF(J343=TODAY(),"ENTREGA HOJE","")))</f>
        <v/>
      </c>
    </row>
    <row r="344">
      <c r="A344" s="18" t="n"/>
      <c r="B344" s="19" t="n"/>
      <c r="C344" s="20" t="n"/>
      <c r="D344" s="20" t="n"/>
      <c r="E344" s="20" t="n"/>
      <c r="F344" s="18" t="n"/>
      <c r="G344" s="21">
        <f>IF(E344="","",IFERROR(VLOOKUP(E344,'Catálogo'!$A$5:$B$504,2,FALSE),0))</f>
        <v/>
      </c>
      <c r="H344" s="21" t="n"/>
      <c r="I344" s="21">
        <f>IF(E344="","",MAX(F344*G344-N(H344),0))</f>
        <v/>
      </c>
      <c r="J344" s="19" t="n"/>
      <c r="K344" s="20" t="n"/>
      <c r="L344" s="20" t="n"/>
      <c r="M344" s="20" t="n"/>
      <c r="N344" s="20">
        <f>IF(OR(E344="",M344="Entregue",M344="Cancelado",J344=""),"",IF(J344&lt;TODAY(),"ATRASADO",IF(J344=TODAY(),"ENTREGA HOJE","")))</f>
        <v/>
      </c>
    </row>
    <row r="345">
      <c r="A345" s="18" t="n"/>
      <c r="B345" s="19" t="n"/>
      <c r="C345" s="20" t="n"/>
      <c r="D345" s="20" t="n"/>
      <c r="E345" s="20" t="n"/>
      <c r="F345" s="18" t="n"/>
      <c r="G345" s="21">
        <f>IF(E345="","",IFERROR(VLOOKUP(E345,'Catálogo'!$A$5:$B$504,2,FALSE),0))</f>
        <v/>
      </c>
      <c r="H345" s="21" t="n"/>
      <c r="I345" s="21">
        <f>IF(E345="","",MAX(F345*G345-N(H345),0))</f>
        <v/>
      </c>
      <c r="J345" s="19" t="n"/>
      <c r="K345" s="20" t="n"/>
      <c r="L345" s="20" t="n"/>
      <c r="M345" s="20" t="n"/>
      <c r="N345" s="20">
        <f>IF(OR(E345="",M345="Entregue",M345="Cancelado",J345=""),"",IF(J345&lt;TODAY(),"ATRASADO",IF(J345=TODAY(),"ENTREGA HOJE","")))</f>
        <v/>
      </c>
    </row>
    <row r="346">
      <c r="A346" s="18" t="n"/>
      <c r="B346" s="19" t="n"/>
      <c r="C346" s="20" t="n"/>
      <c r="D346" s="20" t="n"/>
      <c r="E346" s="20" t="n"/>
      <c r="F346" s="18" t="n"/>
      <c r="G346" s="21">
        <f>IF(E346="","",IFERROR(VLOOKUP(E346,'Catálogo'!$A$5:$B$504,2,FALSE),0))</f>
        <v/>
      </c>
      <c r="H346" s="21" t="n"/>
      <c r="I346" s="21">
        <f>IF(E346="","",MAX(F346*G346-N(H346),0))</f>
        <v/>
      </c>
      <c r="J346" s="19" t="n"/>
      <c r="K346" s="20" t="n"/>
      <c r="L346" s="20" t="n"/>
      <c r="M346" s="20" t="n"/>
      <c r="N346" s="20">
        <f>IF(OR(E346="",M346="Entregue",M346="Cancelado",J346=""),"",IF(J346&lt;TODAY(),"ATRASADO",IF(J346=TODAY(),"ENTREGA HOJE","")))</f>
        <v/>
      </c>
    </row>
    <row r="347">
      <c r="A347" s="18" t="n"/>
      <c r="B347" s="19" t="n"/>
      <c r="C347" s="20" t="n"/>
      <c r="D347" s="20" t="n"/>
      <c r="E347" s="20" t="n"/>
      <c r="F347" s="18" t="n"/>
      <c r="G347" s="21">
        <f>IF(E347="","",IFERROR(VLOOKUP(E347,'Catálogo'!$A$5:$B$504,2,FALSE),0))</f>
        <v/>
      </c>
      <c r="H347" s="21" t="n"/>
      <c r="I347" s="21">
        <f>IF(E347="","",MAX(F347*G347-N(H347),0))</f>
        <v/>
      </c>
      <c r="J347" s="19" t="n"/>
      <c r="K347" s="20" t="n"/>
      <c r="L347" s="20" t="n"/>
      <c r="M347" s="20" t="n"/>
      <c r="N347" s="20">
        <f>IF(OR(E347="",M347="Entregue",M347="Cancelado",J347=""),"",IF(J347&lt;TODAY(),"ATRASADO",IF(J347=TODAY(),"ENTREGA HOJE","")))</f>
        <v/>
      </c>
    </row>
    <row r="348">
      <c r="A348" s="18" t="n"/>
      <c r="B348" s="19" t="n"/>
      <c r="C348" s="20" t="n"/>
      <c r="D348" s="20" t="n"/>
      <c r="E348" s="20" t="n"/>
      <c r="F348" s="18" t="n"/>
      <c r="G348" s="21">
        <f>IF(E348="","",IFERROR(VLOOKUP(E348,'Catálogo'!$A$5:$B$504,2,FALSE),0))</f>
        <v/>
      </c>
      <c r="H348" s="21" t="n"/>
      <c r="I348" s="21">
        <f>IF(E348="","",MAX(F348*G348-N(H348),0))</f>
        <v/>
      </c>
      <c r="J348" s="19" t="n"/>
      <c r="K348" s="20" t="n"/>
      <c r="L348" s="20" t="n"/>
      <c r="M348" s="20" t="n"/>
      <c r="N348" s="20">
        <f>IF(OR(E348="",M348="Entregue",M348="Cancelado",J348=""),"",IF(J348&lt;TODAY(),"ATRASADO",IF(J348=TODAY(),"ENTREGA HOJE","")))</f>
        <v/>
      </c>
    </row>
    <row r="349">
      <c r="A349" s="18" t="n"/>
      <c r="B349" s="19" t="n"/>
      <c r="C349" s="20" t="n"/>
      <c r="D349" s="20" t="n"/>
      <c r="E349" s="20" t="n"/>
      <c r="F349" s="18" t="n"/>
      <c r="G349" s="21">
        <f>IF(E349="","",IFERROR(VLOOKUP(E349,'Catálogo'!$A$5:$B$504,2,FALSE),0))</f>
        <v/>
      </c>
      <c r="H349" s="21" t="n"/>
      <c r="I349" s="21">
        <f>IF(E349="","",MAX(F349*G349-N(H349),0))</f>
        <v/>
      </c>
      <c r="J349" s="19" t="n"/>
      <c r="K349" s="20" t="n"/>
      <c r="L349" s="20" t="n"/>
      <c r="M349" s="20" t="n"/>
      <c r="N349" s="20">
        <f>IF(OR(E349="",M349="Entregue",M349="Cancelado",J349=""),"",IF(J349&lt;TODAY(),"ATRASADO",IF(J349=TODAY(),"ENTREGA HOJE","")))</f>
        <v/>
      </c>
    </row>
    <row r="350">
      <c r="A350" s="18" t="n"/>
      <c r="B350" s="19" t="n"/>
      <c r="C350" s="20" t="n"/>
      <c r="D350" s="20" t="n"/>
      <c r="E350" s="20" t="n"/>
      <c r="F350" s="18" t="n"/>
      <c r="G350" s="21">
        <f>IF(E350="","",IFERROR(VLOOKUP(E350,'Catálogo'!$A$5:$B$504,2,FALSE),0))</f>
        <v/>
      </c>
      <c r="H350" s="21" t="n"/>
      <c r="I350" s="21">
        <f>IF(E350="","",MAX(F350*G350-N(H350),0))</f>
        <v/>
      </c>
      <c r="J350" s="19" t="n"/>
      <c r="K350" s="20" t="n"/>
      <c r="L350" s="20" t="n"/>
      <c r="M350" s="20" t="n"/>
      <c r="N350" s="20">
        <f>IF(OR(E350="",M350="Entregue",M350="Cancelado",J350=""),"",IF(J350&lt;TODAY(),"ATRASADO",IF(J350=TODAY(),"ENTREGA HOJE","")))</f>
        <v/>
      </c>
    </row>
    <row r="351">
      <c r="A351" s="18" t="n"/>
      <c r="B351" s="19" t="n"/>
      <c r="C351" s="20" t="n"/>
      <c r="D351" s="20" t="n"/>
      <c r="E351" s="20" t="n"/>
      <c r="F351" s="18" t="n"/>
      <c r="G351" s="21">
        <f>IF(E351="","",IFERROR(VLOOKUP(E351,'Catálogo'!$A$5:$B$504,2,FALSE),0))</f>
        <v/>
      </c>
      <c r="H351" s="21" t="n"/>
      <c r="I351" s="21">
        <f>IF(E351="","",MAX(F351*G351-N(H351),0))</f>
        <v/>
      </c>
      <c r="J351" s="19" t="n"/>
      <c r="K351" s="20" t="n"/>
      <c r="L351" s="20" t="n"/>
      <c r="M351" s="20" t="n"/>
      <c r="N351" s="20">
        <f>IF(OR(E351="",M351="Entregue",M351="Cancelado",J351=""),"",IF(J351&lt;TODAY(),"ATRASADO",IF(J351=TODAY(),"ENTREGA HOJE","")))</f>
        <v/>
      </c>
    </row>
    <row r="352">
      <c r="A352" s="18" t="n"/>
      <c r="B352" s="19" t="n"/>
      <c r="C352" s="20" t="n"/>
      <c r="D352" s="20" t="n"/>
      <c r="E352" s="20" t="n"/>
      <c r="F352" s="18" t="n"/>
      <c r="G352" s="21">
        <f>IF(E352="","",IFERROR(VLOOKUP(E352,'Catálogo'!$A$5:$B$504,2,FALSE),0))</f>
        <v/>
      </c>
      <c r="H352" s="21" t="n"/>
      <c r="I352" s="21">
        <f>IF(E352="","",MAX(F352*G352-N(H352),0))</f>
        <v/>
      </c>
      <c r="J352" s="19" t="n"/>
      <c r="K352" s="20" t="n"/>
      <c r="L352" s="20" t="n"/>
      <c r="M352" s="20" t="n"/>
      <c r="N352" s="20">
        <f>IF(OR(E352="",M352="Entregue",M352="Cancelado",J352=""),"",IF(J352&lt;TODAY(),"ATRASADO",IF(J352=TODAY(),"ENTREGA HOJE","")))</f>
        <v/>
      </c>
    </row>
    <row r="353">
      <c r="A353" s="18" t="n"/>
      <c r="B353" s="19" t="n"/>
      <c r="C353" s="20" t="n"/>
      <c r="D353" s="20" t="n"/>
      <c r="E353" s="20" t="n"/>
      <c r="F353" s="18" t="n"/>
      <c r="G353" s="21">
        <f>IF(E353="","",IFERROR(VLOOKUP(E353,'Catálogo'!$A$5:$B$504,2,FALSE),0))</f>
        <v/>
      </c>
      <c r="H353" s="21" t="n"/>
      <c r="I353" s="21">
        <f>IF(E353="","",MAX(F353*G353-N(H353),0))</f>
        <v/>
      </c>
      <c r="J353" s="19" t="n"/>
      <c r="K353" s="20" t="n"/>
      <c r="L353" s="20" t="n"/>
      <c r="M353" s="20" t="n"/>
      <c r="N353" s="20">
        <f>IF(OR(E353="",M353="Entregue",M353="Cancelado",J353=""),"",IF(J353&lt;TODAY(),"ATRASADO",IF(J353=TODAY(),"ENTREGA HOJE","")))</f>
        <v/>
      </c>
    </row>
    <row r="354">
      <c r="A354" s="18" t="n"/>
      <c r="B354" s="19" t="n"/>
      <c r="C354" s="20" t="n"/>
      <c r="D354" s="20" t="n"/>
      <c r="E354" s="20" t="n"/>
      <c r="F354" s="18" t="n"/>
      <c r="G354" s="21">
        <f>IF(E354="","",IFERROR(VLOOKUP(E354,'Catálogo'!$A$5:$B$504,2,FALSE),0))</f>
        <v/>
      </c>
      <c r="H354" s="21" t="n"/>
      <c r="I354" s="21">
        <f>IF(E354="","",MAX(F354*G354-N(H354),0))</f>
        <v/>
      </c>
      <c r="J354" s="19" t="n"/>
      <c r="K354" s="20" t="n"/>
      <c r="L354" s="20" t="n"/>
      <c r="M354" s="20" t="n"/>
      <c r="N354" s="20">
        <f>IF(OR(E354="",M354="Entregue",M354="Cancelado",J354=""),"",IF(J354&lt;TODAY(),"ATRASADO",IF(J354=TODAY(),"ENTREGA HOJE","")))</f>
        <v/>
      </c>
    </row>
    <row r="355">
      <c r="A355" s="18" t="n"/>
      <c r="B355" s="19" t="n"/>
      <c r="C355" s="20" t="n"/>
      <c r="D355" s="20" t="n"/>
      <c r="E355" s="20" t="n"/>
      <c r="F355" s="18" t="n"/>
      <c r="G355" s="21">
        <f>IF(E355="","",IFERROR(VLOOKUP(E355,'Catálogo'!$A$5:$B$504,2,FALSE),0))</f>
        <v/>
      </c>
      <c r="H355" s="21" t="n"/>
      <c r="I355" s="21">
        <f>IF(E355="","",MAX(F355*G355-N(H355),0))</f>
        <v/>
      </c>
      <c r="J355" s="19" t="n"/>
      <c r="K355" s="20" t="n"/>
      <c r="L355" s="20" t="n"/>
      <c r="M355" s="20" t="n"/>
      <c r="N355" s="20">
        <f>IF(OR(E355="",M355="Entregue",M355="Cancelado",J355=""),"",IF(J355&lt;TODAY(),"ATRASADO",IF(J355=TODAY(),"ENTREGA HOJE","")))</f>
        <v/>
      </c>
    </row>
    <row r="356">
      <c r="A356" s="18" t="n"/>
      <c r="B356" s="19" t="n"/>
      <c r="C356" s="20" t="n"/>
      <c r="D356" s="20" t="n"/>
      <c r="E356" s="20" t="n"/>
      <c r="F356" s="18" t="n"/>
      <c r="G356" s="21">
        <f>IF(E356="","",IFERROR(VLOOKUP(E356,'Catálogo'!$A$5:$B$504,2,FALSE),0))</f>
        <v/>
      </c>
      <c r="H356" s="21" t="n"/>
      <c r="I356" s="21">
        <f>IF(E356="","",MAX(F356*G356-N(H356),0))</f>
        <v/>
      </c>
      <c r="J356" s="19" t="n"/>
      <c r="K356" s="20" t="n"/>
      <c r="L356" s="20" t="n"/>
      <c r="M356" s="20" t="n"/>
      <c r="N356" s="20">
        <f>IF(OR(E356="",M356="Entregue",M356="Cancelado",J356=""),"",IF(J356&lt;TODAY(),"ATRASADO",IF(J356=TODAY(),"ENTREGA HOJE","")))</f>
        <v/>
      </c>
    </row>
    <row r="357">
      <c r="A357" s="18" t="n"/>
      <c r="B357" s="19" t="n"/>
      <c r="C357" s="20" t="n"/>
      <c r="D357" s="20" t="n"/>
      <c r="E357" s="20" t="n"/>
      <c r="F357" s="18" t="n"/>
      <c r="G357" s="21">
        <f>IF(E357="","",IFERROR(VLOOKUP(E357,'Catálogo'!$A$5:$B$504,2,FALSE),0))</f>
        <v/>
      </c>
      <c r="H357" s="21" t="n"/>
      <c r="I357" s="21">
        <f>IF(E357="","",MAX(F357*G357-N(H357),0))</f>
        <v/>
      </c>
      <c r="J357" s="19" t="n"/>
      <c r="K357" s="20" t="n"/>
      <c r="L357" s="20" t="n"/>
      <c r="M357" s="20" t="n"/>
      <c r="N357" s="20">
        <f>IF(OR(E357="",M357="Entregue",M357="Cancelado",J357=""),"",IF(J357&lt;TODAY(),"ATRASADO",IF(J357=TODAY(),"ENTREGA HOJE","")))</f>
        <v/>
      </c>
    </row>
    <row r="358">
      <c r="A358" s="18" t="n"/>
      <c r="B358" s="19" t="n"/>
      <c r="C358" s="20" t="n"/>
      <c r="D358" s="20" t="n"/>
      <c r="E358" s="20" t="n"/>
      <c r="F358" s="18" t="n"/>
      <c r="G358" s="21">
        <f>IF(E358="","",IFERROR(VLOOKUP(E358,'Catálogo'!$A$5:$B$504,2,FALSE),0))</f>
        <v/>
      </c>
      <c r="H358" s="21" t="n"/>
      <c r="I358" s="21">
        <f>IF(E358="","",MAX(F358*G358-N(H358),0))</f>
        <v/>
      </c>
      <c r="J358" s="19" t="n"/>
      <c r="K358" s="20" t="n"/>
      <c r="L358" s="20" t="n"/>
      <c r="M358" s="20" t="n"/>
      <c r="N358" s="20">
        <f>IF(OR(E358="",M358="Entregue",M358="Cancelado",J358=""),"",IF(J358&lt;TODAY(),"ATRASADO",IF(J358=TODAY(),"ENTREGA HOJE","")))</f>
        <v/>
      </c>
    </row>
    <row r="359">
      <c r="A359" s="18" t="n"/>
      <c r="B359" s="19" t="n"/>
      <c r="C359" s="20" t="n"/>
      <c r="D359" s="20" t="n"/>
      <c r="E359" s="20" t="n"/>
      <c r="F359" s="18" t="n"/>
      <c r="G359" s="21">
        <f>IF(E359="","",IFERROR(VLOOKUP(E359,'Catálogo'!$A$5:$B$504,2,FALSE),0))</f>
        <v/>
      </c>
      <c r="H359" s="21" t="n"/>
      <c r="I359" s="21">
        <f>IF(E359="","",MAX(F359*G359-N(H359),0))</f>
        <v/>
      </c>
      <c r="J359" s="19" t="n"/>
      <c r="K359" s="20" t="n"/>
      <c r="L359" s="20" t="n"/>
      <c r="M359" s="20" t="n"/>
      <c r="N359" s="20">
        <f>IF(OR(E359="",M359="Entregue",M359="Cancelado",J359=""),"",IF(J359&lt;TODAY(),"ATRASADO",IF(J359=TODAY(),"ENTREGA HOJE","")))</f>
        <v/>
      </c>
    </row>
    <row r="360">
      <c r="A360" s="18" t="n"/>
      <c r="B360" s="19" t="n"/>
      <c r="C360" s="20" t="n"/>
      <c r="D360" s="20" t="n"/>
      <c r="E360" s="20" t="n"/>
      <c r="F360" s="18" t="n"/>
      <c r="G360" s="21">
        <f>IF(E360="","",IFERROR(VLOOKUP(E360,'Catálogo'!$A$5:$B$504,2,FALSE),0))</f>
        <v/>
      </c>
      <c r="H360" s="21" t="n"/>
      <c r="I360" s="21">
        <f>IF(E360="","",MAX(F360*G360-N(H360),0))</f>
        <v/>
      </c>
      <c r="J360" s="19" t="n"/>
      <c r="K360" s="20" t="n"/>
      <c r="L360" s="20" t="n"/>
      <c r="M360" s="20" t="n"/>
      <c r="N360" s="20">
        <f>IF(OR(E360="",M360="Entregue",M360="Cancelado",J360=""),"",IF(J360&lt;TODAY(),"ATRASADO",IF(J360=TODAY(),"ENTREGA HOJE","")))</f>
        <v/>
      </c>
    </row>
    <row r="361">
      <c r="A361" s="18" t="n"/>
      <c r="B361" s="19" t="n"/>
      <c r="C361" s="20" t="n"/>
      <c r="D361" s="20" t="n"/>
      <c r="E361" s="20" t="n"/>
      <c r="F361" s="18" t="n"/>
      <c r="G361" s="21">
        <f>IF(E361="","",IFERROR(VLOOKUP(E361,'Catálogo'!$A$5:$B$504,2,FALSE),0))</f>
        <v/>
      </c>
      <c r="H361" s="21" t="n"/>
      <c r="I361" s="21">
        <f>IF(E361="","",MAX(F361*G361-N(H361),0))</f>
        <v/>
      </c>
      <c r="J361" s="19" t="n"/>
      <c r="K361" s="20" t="n"/>
      <c r="L361" s="20" t="n"/>
      <c r="M361" s="20" t="n"/>
      <c r="N361" s="20">
        <f>IF(OR(E361="",M361="Entregue",M361="Cancelado",J361=""),"",IF(J361&lt;TODAY(),"ATRASADO",IF(J361=TODAY(),"ENTREGA HOJE","")))</f>
        <v/>
      </c>
    </row>
    <row r="362">
      <c r="A362" s="18" t="n"/>
      <c r="B362" s="19" t="n"/>
      <c r="C362" s="20" t="n"/>
      <c r="D362" s="20" t="n"/>
      <c r="E362" s="20" t="n"/>
      <c r="F362" s="18" t="n"/>
      <c r="G362" s="21">
        <f>IF(E362="","",IFERROR(VLOOKUP(E362,'Catálogo'!$A$5:$B$504,2,FALSE),0))</f>
        <v/>
      </c>
      <c r="H362" s="21" t="n"/>
      <c r="I362" s="21">
        <f>IF(E362="","",MAX(F362*G362-N(H362),0))</f>
        <v/>
      </c>
      <c r="J362" s="19" t="n"/>
      <c r="K362" s="20" t="n"/>
      <c r="L362" s="20" t="n"/>
      <c r="M362" s="20" t="n"/>
      <c r="N362" s="20">
        <f>IF(OR(E362="",M362="Entregue",M362="Cancelado",J362=""),"",IF(J362&lt;TODAY(),"ATRASADO",IF(J362=TODAY(),"ENTREGA HOJE","")))</f>
        <v/>
      </c>
    </row>
    <row r="363">
      <c r="A363" s="18" t="n"/>
      <c r="B363" s="19" t="n"/>
      <c r="C363" s="20" t="n"/>
      <c r="D363" s="20" t="n"/>
      <c r="E363" s="20" t="n"/>
      <c r="F363" s="18" t="n"/>
      <c r="G363" s="21">
        <f>IF(E363="","",IFERROR(VLOOKUP(E363,'Catálogo'!$A$5:$B$504,2,FALSE),0))</f>
        <v/>
      </c>
      <c r="H363" s="21" t="n"/>
      <c r="I363" s="21">
        <f>IF(E363="","",MAX(F363*G363-N(H363),0))</f>
        <v/>
      </c>
      <c r="J363" s="19" t="n"/>
      <c r="K363" s="20" t="n"/>
      <c r="L363" s="20" t="n"/>
      <c r="M363" s="20" t="n"/>
      <c r="N363" s="20">
        <f>IF(OR(E363="",M363="Entregue",M363="Cancelado",J363=""),"",IF(J363&lt;TODAY(),"ATRASADO",IF(J363=TODAY(),"ENTREGA HOJE","")))</f>
        <v/>
      </c>
    </row>
    <row r="364">
      <c r="A364" s="18" t="n"/>
      <c r="B364" s="19" t="n"/>
      <c r="C364" s="20" t="n"/>
      <c r="D364" s="20" t="n"/>
      <c r="E364" s="20" t="n"/>
      <c r="F364" s="18" t="n"/>
      <c r="G364" s="21">
        <f>IF(E364="","",IFERROR(VLOOKUP(E364,'Catálogo'!$A$5:$B$504,2,FALSE),0))</f>
        <v/>
      </c>
      <c r="H364" s="21" t="n"/>
      <c r="I364" s="21">
        <f>IF(E364="","",MAX(F364*G364-N(H364),0))</f>
        <v/>
      </c>
      <c r="J364" s="19" t="n"/>
      <c r="K364" s="20" t="n"/>
      <c r="L364" s="20" t="n"/>
      <c r="M364" s="20" t="n"/>
      <c r="N364" s="20">
        <f>IF(OR(E364="",M364="Entregue",M364="Cancelado",J364=""),"",IF(J364&lt;TODAY(),"ATRASADO",IF(J364=TODAY(),"ENTREGA HOJE","")))</f>
        <v/>
      </c>
    </row>
    <row r="365">
      <c r="A365" s="18" t="n"/>
      <c r="B365" s="19" t="n"/>
      <c r="C365" s="20" t="n"/>
      <c r="D365" s="20" t="n"/>
      <c r="E365" s="20" t="n"/>
      <c r="F365" s="18" t="n"/>
      <c r="G365" s="21">
        <f>IF(E365="","",IFERROR(VLOOKUP(E365,'Catálogo'!$A$5:$B$504,2,FALSE),0))</f>
        <v/>
      </c>
      <c r="H365" s="21" t="n"/>
      <c r="I365" s="21">
        <f>IF(E365="","",MAX(F365*G365-N(H365),0))</f>
        <v/>
      </c>
      <c r="J365" s="19" t="n"/>
      <c r="K365" s="20" t="n"/>
      <c r="L365" s="20" t="n"/>
      <c r="M365" s="20" t="n"/>
      <c r="N365" s="20">
        <f>IF(OR(E365="",M365="Entregue",M365="Cancelado",J365=""),"",IF(J365&lt;TODAY(),"ATRASADO",IF(J365=TODAY(),"ENTREGA HOJE","")))</f>
        <v/>
      </c>
    </row>
    <row r="366">
      <c r="A366" s="18" t="n"/>
      <c r="B366" s="19" t="n"/>
      <c r="C366" s="20" t="n"/>
      <c r="D366" s="20" t="n"/>
      <c r="E366" s="20" t="n"/>
      <c r="F366" s="18" t="n"/>
      <c r="G366" s="21">
        <f>IF(E366="","",IFERROR(VLOOKUP(E366,'Catálogo'!$A$5:$B$504,2,FALSE),0))</f>
        <v/>
      </c>
      <c r="H366" s="21" t="n"/>
      <c r="I366" s="21">
        <f>IF(E366="","",MAX(F366*G366-N(H366),0))</f>
        <v/>
      </c>
      <c r="J366" s="19" t="n"/>
      <c r="K366" s="20" t="n"/>
      <c r="L366" s="20" t="n"/>
      <c r="M366" s="20" t="n"/>
      <c r="N366" s="20">
        <f>IF(OR(E366="",M366="Entregue",M366="Cancelado",J366=""),"",IF(J366&lt;TODAY(),"ATRASADO",IF(J366=TODAY(),"ENTREGA HOJE","")))</f>
        <v/>
      </c>
    </row>
    <row r="367">
      <c r="A367" s="18" t="n"/>
      <c r="B367" s="19" t="n"/>
      <c r="C367" s="20" t="n"/>
      <c r="D367" s="20" t="n"/>
      <c r="E367" s="20" t="n"/>
      <c r="F367" s="18" t="n"/>
      <c r="G367" s="21">
        <f>IF(E367="","",IFERROR(VLOOKUP(E367,'Catálogo'!$A$5:$B$504,2,FALSE),0))</f>
        <v/>
      </c>
      <c r="H367" s="21" t="n"/>
      <c r="I367" s="21">
        <f>IF(E367="","",MAX(F367*G367-N(H367),0))</f>
        <v/>
      </c>
      <c r="J367" s="19" t="n"/>
      <c r="K367" s="20" t="n"/>
      <c r="L367" s="20" t="n"/>
      <c r="M367" s="20" t="n"/>
      <c r="N367" s="20">
        <f>IF(OR(E367="",M367="Entregue",M367="Cancelado",J367=""),"",IF(J367&lt;TODAY(),"ATRASADO",IF(J367=TODAY(),"ENTREGA HOJE","")))</f>
        <v/>
      </c>
    </row>
    <row r="368">
      <c r="A368" s="18" t="n"/>
      <c r="B368" s="19" t="n"/>
      <c r="C368" s="20" t="n"/>
      <c r="D368" s="20" t="n"/>
      <c r="E368" s="20" t="n"/>
      <c r="F368" s="18" t="n"/>
      <c r="G368" s="21">
        <f>IF(E368="","",IFERROR(VLOOKUP(E368,'Catálogo'!$A$5:$B$504,2,FALSE),0))</f>
        <v/>
      </c>
      <c r="H368" s="21" t="n"/>
      <c r="I368" s="21">
        <f>IF(E368="","",MAX(F368*G368-N(H368),0))</f>
        <v/>
      </c>
      <c r="J368" s="19" t="n"/>
      <c r="K368" s="20" t="n"/>
      <c r="L368" s="20" t="n"/>
      <c r="M368" s="20" t="n"/>
      <c r="N368" s="20">
        <f>IF(OR(E368="",M368="Entregue",M368="Cancelado",J368=""),"",IF(J368&lt;TODAY(),"ATRASADO",IF(J368=TODAY(),"ENTREGA HOJE","")))</f>
        <v/>
      </c>
    </row>
    <row r="369">
      <c r="A369" s="18" t="n"/>
      <c r="B369" s="19" t="n"/>
      <c r="C369" s="20" t="n"/>
      <c r="D369" s="20" t="n"/>
      <c r="E369" s="20" t="n"/>
      <c r="F369" s="18" t="n"/>
      <c r="G369" s="21">
        <f>IF(E369="","",IFERROR(VLOOKUP(E369,'Catálogo'!$A$5:$B$504,2,FALSE),0))</f>
        <v/>
      </c>
      <c r="H369" s="21" t="n"/>
      <c r="I369" s="21">
        <f>IF(E369="","",MAX(F369*G369-N(H369),0))</f>
        <v/>
      </c>
      <c r="J369" s="19" t="n"/>
      <c r="K369" s="20" t="n"/>
      <c r="L369" s="20" t="n"/>
      <c r="M369" s="20" t="n"/>
      <c r="N369" s="20">
        <f>IF(OR(E369="",M369="Entregue",M369="Cancelado",J369=""),"",IF(J369&lt;TODAY(),"ATRASADO",IF(J369=TODAY(),"ENTREGA HOJE","")))</f>
        <v/>
      </c>
    </row>
    <row r="370">
      <c r="A370" s="18" t="n"/>
      <c r="B370" s="19" t="n"/>
      <c r="C370" s="20" t="n"/>
      <c r="D370" s="20" t="n"/>
      <c r="E370" s="20" t="n"/>
      <c r="F370" s="18" t="n"/>
      <c r="G370" s="21">
        <f>IF(E370="","",IFERROR(VLOOKUP(E370,'Catálogo'!$A$5:$B$504,2,FALSE),0))</f>
        <v/>
      </c>
      <c r="H370" s="21" t="n"/>
      <c r="I370" s="21">
        <f>IF(E370="","",MAX(F370*G370-N(H370),0))</f>
        <v/>
      </c>
      <c r="J370" s="19" t="n"/>
      <c r="K370" s="20" t="n"/>
      <c r="L370" s="20" t="n"/>
      <c r="M370" s="20" t="n"/>
      <c r="N370" s="20">
        <f>IF(OR(E370="",M370="Entregue",M370="Cancelado",J370=""),"",IF(J370&lt;TODAY(),"ATRASADO",IF(J370=TODAY(),"ENTREGA HOJE","")))</f>
        <v/>
      </c>
    </row>
    <row r="371">
      <c r="A371" s="18" t="n"/>
      <c r="B371" s="19" t="n"/>
      <c r="C371" s="20" t="n"/>
      <c r="D371" s="20" t="n"/>
      <c r="E371" s="20" t="n"/>
      <c r="F371" s="18" t="n"/>
      <c r="G371" s="21">
        <f>IF(E371="","",IFERROR(VLOOKUP(E371,'Catálogo'!$A$5:$B$504,2,FALSE),0))</f>
        <v/>
      </c>
      <c r="H371" s="21" t="n"/>
      <c r="I371" s="21">
        <f>IF(E371="","",MAX(F371*G371-N(H371),0))</f>
        <v/>
      </c>
      <c r="J371" s="19" t="n"/>
      <c r="K371" s="20" t="n"/>
      <c r="L371" s="20" t="n"/>
      <c r="M371" s="20" t="n"/>
      <c r="N371" s="20">
        <f>IF(OR(E371="",M371="Entregue",M371="Cancelado",J371=""),"",IF(J371&lt;TODAY(),"ATRASADO",IF(J371=TODAY(),"ENTREGA HOJE","")))</f>
        <v/>
      </c>
    </row>
    <row r="372">
      <c r="A372" s="18" t="n"/>
      <c r="B372" s="19" t="n"/>
      <c r="C372" s="20" t="n"/>
      <c r="D372" s="20" t="n"/>
      <c r="E372" s="20" t="n"/>
      <c r="F372" s="18" t="n"/>
      <c r="G372" s="21">
        <f>IF(E372="","",IFERROR(VLOOKUP(E372,'Catálogo'!$A$5:$B$504,2,FALSE),0))</f>
        <v/>
      </c>
      <c r="H372" s="21" t="n"/>
      <c r="I372" s="21">
        <f>IF(E372="","",MAX(F372*G372-N(H372),0))</f>
        <v/>
      </c>
      <c r="J372" s="19" t="n"/>
      <c r="K372" s="20" t="n"/>
      <c r="L372" s="20" t="n"/>
      <c r="M372" s="20" t="n"/>
      <c r="N372" s="20">
        <f>IF(OR(E372="",M372="Entregue",M372="Cancelado",J372=""),"",IF(J372&lt;TODAY(),"ATRASADO",IF(J372=TODAY(),"ENTREGA HOJE","")))</f>
        <v/>
      </c>
    </row>
    <row r="373">
      <c r="A373" s="18" t="n"/>
      <c r="B373" s="19" t="n"/>
      <c r="C373" s="20" t="n"/>
      <c r="D373" s="20" t="n"/>
      <c r="E373" s="20" t="n"/>
      <c r="F373" s="18" t="n"/>
      <c r="G373" s="21">
        <f>IF(E373="","",IFERROR(VLOOKUP(E373,'Catálogo'!$A$5:$B$504,2,FALSE),0))</f>
        <v/>
      </c>
      <c r="H373" s="21" t="n"/>
      <c r="I373" s="21">
        <f>IF(E373="","",MAX(F373*G373-N(H373),0))</f>
        <v/>
      </c>
      <c r="J373" s="19" t="n"/>
      <c r="K373" s="20" t="n"/>
      <c r="L373" s="20" t="n"/>
      <c r="M373" s="20" t="n"/>
      <c r="N373" s="20">
        <f>IF(OR(E373="",M373="Entregue",M373="Cancelado",J373=""),"",IF(J373&lt;TODAY(),"ATRASADO",IF(J373=TODAY(),"ENTREGA HOJE","")))</f>
        <v/>
      </c>
    </row>
    <row r="374">
      <c r="A374" s="18" t="n"/>
      <c r="B374" s="19" t="n"/>
      <c r="C374" s="20" t="n"/>
      <c r="D374" s="20" t="n"/>
      <c r="E374" s="20" t="n"/>
      <c r="F374" s="18" t="n"/>
      <c r="G374" s="21">
        <f>IF(E374="","",IFERROR(VLOOKUP(E374,'Catálogo'!$A$5:$B$504,2,FALSE),0))</f>
        <v/>
      </c>
      <c r="H374" s="21" t="n"/>
      <c r="I374" s="21">
        <f>IF(E374="","",MAX(F374*G374-N(H374),0))</f>
        <v/>
      </c>
      <c r="J374" s="19" t="n"/>
      <c r="K374" s="20" t="n"/>
      <c r="L374" s="20" t="n"/>
      <c r="M374" s="20" t="n"/>
      <c r="N374" s="20">
        <f>IF(OR(E374="",M374="Entregue",M374="Cancelado",J374=""),"",IF(J374&lt;TODAY(),"ATRASADO",IF(J374=TODAY(),"ENTREGA HOJE","")))</f>
        <v/>
      </c>
    </row>
    <row r="375">
      <c r="A375" s="18" t="n"/>
      <c r="B375" s="19" t="n"/>
      <c r="C375" s="20" t="n"/>
      <c r="D375" s="20" t="n"/>
      <c r="E375" s="20" t="n"/>
      <c r="F375" s="18" t="n"/>
      <c r="G375" s="21">
        <f>IF(E375="","",IFERROR(VLOOKUP(E375,'Catálogo'!$A$5:$B$504,2,FALSE),0))</f>
        <v/>
      </c>
      <c r="H375" s="21" t="n"/>
      <c r="I375" s="21">
        <f>IF(E375="","",MAX(F375*G375-N(H375),0))</f>
        <v/>
      </c>
      <c r="J375" s="19" t="n"/>
      <c r="K375" s="20" t="n"/>
      <c r="L375" s="20" t="n"/>
      <c r="M375" s="20" t="n"/>
      <c r="N375" s="20">
        <f>IF(OR(E375="",M375="Entregue",M375="Cancelado",J375=""),"",IF(J375&lt;TODAY(),"ATRASADO",IF(J375=TODAY(),"ENTREGA HOJE","")))</f>
        <v/>
      </c>
    </row>
    <row r="376">
      <c r="A376" s="18" t="n"/>
      <c r="B376" s="19" t="n"/>
      <c r="C376" s="20" t="n"/>
      <c r="D376" s="20" t="n"/>
      <c r="E376" s="20" t="n"/>
      <c r="F376" s="18" t="n"/>
      <c r="G376" s="21">
        <f>IF(E376="","",IFERROR(VLOOKUP(E376,'Catálogo'!$A$5:$B$504,2,FALSE),0))</f>
        <v/>
      </c>
      <c r="H376" s="21" t="n"/>
      <c r="I376" s="21">
        <f>IF(E376="","",MAX(F376*G376-N(H376),0))</f>
        <v/>
      </c>
      <c r="J376" s="19" t="n"/>
      <c r="K376" s="20" t="n"/>
      <c r="L376" s="20" t="n"/>
      <c r="M376" s="20" t="n"/>
      <c r="N376" s="20">
        <f>IF(OR(E376="",M376="Entregue",M376="Cancelado",J376=""),"",IF(J376&lt;TODAY(),"ATRASADO",IF(J376=TODAY(),"ENTREGA HOJE","")))</f>
        <v/>
      </c>
    </row>
    <row r="377">
      <c r="A377" s="18" t="n"/>
      <c r="B377" s="19" t="n"/>
      <c r="C377" s="20" t="n"/>
      <c r="D377" s="20" t="n"/>
      <c r="E377" s="20" t="n"/>
      <c r="F377" s="18" t="n"/>
      <c r="G377" s="21">
        <f>IF(E377="","",IFERROR(VLOOKUP(E377,'Catálogo'!$A$5:$B$504,2,FALSE),0))</f>
        <v/>
      </c>
      <c r="H377" s="21" t="n"/>
      <c r="I377" s="21">
        <f>IF(E377="","",MAX(F377*G377-N(H377),0))</f>
        <v/>
      </c>
      <c r="J377" s="19" t="n"/>
      <c r="K377" s="20" t="n"/>
      <c r="L377" s="20" t="n"/>
      <c r="M377" s="20" t="n"/>
      <c r="N377" s="20">
        <f>IF(OR(E377="",M377="Entregue",M377="Cancelado",J377=""),"",IF(J377&lt;TODAY(),"ATRASADO",IF(J377=TODAY(),"ENTREGA HOJE","")))</f>
        <v/>
      </c>
    </row>
    <row r="378">
      <c r="A378" s="18" t="n"/>
      <c r="B378" s="19" t="n"/>
      <c r="C378" s="20" t="n"/>
      <c r="D378" s="20" t="n"/>
      <c r="E378" s="20" t="n"/>
      <c r="F378" s="18" t="n"/>
      <c r="G378" s="21">
        <f>IF(E378="","",IFERROR(VLOOKUP(E378,'Catálogo'!$A$5:$B$504,2,FALSE),0))</f>
        <v/>
      </c>
      <c r="H378" s="21" t="n"/>
      <c r="I378" s="21">
        <f>IF(E378="","",MAX(F378*G378-N(H378),0))</f>
        <v/>
      </c>
      <c r="J378" s="19" t="n"/>
      <c r="K378" s="20" t="n"/>
      <c r="L378" s="20" t="n"/>
      <c r="M378" s="20" t="n"/>
      <c r="N378" s="20">
        <f>IF(OR(E378="",M378="Entregue",M378="Cancelado",J378=""),"",IF(J378&lt;TODAY(),"ATRASADO",IF(J378=TODAY(),"ENTREGA HOJE","")))</f>
        <v/>
      </c>
    </row>
    <row r="379">
      <c r="A379" s="18" t="n"/>
      <c r="B379" s="19" t="n"/>
      <c r="C379" s="20" t="n"/>
      <c r="D379" s="20" t="n"/>
      <c r="E379" s="20" t="n"/>
      <c r="F379" s="18" t="n"/>
      <c r="G379" s="21">
        <f>IF(E379="","",IFERROR(VLOOKUP(E379,'Catálogo'!$A$5:$B$504,2,FALSE),0))</f>
        <v/>
      </c>
      <c r="H379" s="21" t="n"/>
      <c r="I379" s="21">
        <f>IF(E379="","",MAX(F379*G379-N(H379),0))</f>
        <v/>
      </c>
      <c r="J379" s="19" t="n"/>
      <c r="K379" s="20" t="n"/>
      <c r="L379" s="20" t="n"/>
      <c r="M379" s="20" t="n"/>
      <c r="N379" s="20">
        <f>IF(OR(E379="",M379="Entregue",M379="Cancelado",J379=""),"",IF(J379&lt;TODAY(),"ATRASADO",IF(J379=TODAY(),"ENTREGA HOJE","")))</f>
        <v/>
      </c>
    </row>
    <row r="380">
      <c r="A380" s="18" t="n"/>
      <c r="B380" s="19" t="n"/>
      <c r="C380" s="20" t="n"/>
      <c r="D380" s="20" t="n"/>
      <c r="E380" s="20" t="n"/>
      <c r="F380" s="18" t="n"/>
      <c r="G380" s="21">
        <f>IF(E380="","",IFERROR(VLOOKUP(E380,'Catálogo'!$A$5:$B$504,2,FALSE),0))</f>
        <v/>
      </c>
      <c r="H380" s="21" t="n"/>
      <c r="I380" s="21">
        <f>IF(E380="","",MAX(F380*G380-N(H380),0))</f>
        <v/>
      </c>
      <c r="J380" s="19" t="n"/>
      <c r="K380" s="20" t="n"/>
      <c r="L380" s="20" t="n"/>
      <c r="M380" s="20" t="n"/>
      <c r="N380" s="20">
        <f>IF(OR(E380="",M380="Entregue",M380="Cancelado",J380=""),"",IF(J380&lt;TODAY(),"ATRASADO",IF(J380=TODAY(),"ENTREGA HOJE","")))</f>
        <v/>
      </c>
    </row>
    <row r="381">
      <c r="A381" s="18" t="n"/>
      <c r="B381" s="19" t="n"/>
      <c r="C381" s="20" t="n"/>
      <c r="D381" s="20" t="n"/>
      <c r="E381" s="20" t="n"/>
      <c r="F381" s="18" t="n"/>
      <c r="G381" s="21">
        <f>IF(E381="","",IFERROR(VLOOKUP(E381,'Catálogo'!$A$5:$B$504,2,FALSE),0))</f>
        <v/>
      </c>
      <c r="H381" s="21" t="n"/>
      <c r="I381" s="21">
        <f>IF(E381="","",MAX(F381*G381-N(H381),0))</f>
        <v/>
      </c>
      <c r="J381" s="19" t="n"/>
      <c r="K381" s="20" t="n"/>
      <c r="L381" s="20" t="n"/>
      <c r="M381" s="20" t="n"/>
      <c r="N381" s="20">
        <f>IF(OR(E381="",M381="Entregue",M381="Cancelado",J381=""),"",IF(J381&lt;TODAY(),"ATRASADO",IF(J381=TODAY(),"ENTREGA HOJE","")))</f>
        <v/>
      </c>
    </row>
    <row r="382">
      <c r="A382" s="18" t="n"/>
      <c r="B382" s="19" t="n"/>
      <c r="C382" s="20" t="n"/>
      <c r="D382" s="20" t="n"/>
      <c r="E382" s="20" t="n"/>
      <c r="F382" s="18" t="n"/>
      <c r="G382" s="21">
        <f>IF(E382="","",IFERROR(VLOOKUP(E382,'Catálogo'!$A$5:$B$504,2,FALSE),0))</f>
        <v/>
      </c>
      <c r="H382" s="21" t="n"/>
      <c r="I382" s="21">
        <f>IF(E382="","",MAX(F382*G382-N(H382),0))</f>
        <v/>
      </c>
      <c r="J382" s="19" t="n"/>
      <c r="K382" s="20" t="n"/>
      <c r="L382" s="20" t="n"/>
      <c r="M382" s="20" t="n"/>
      <c r="N382" s="20">
        <f>IF(OR(E382="",M382="Entregue",M382="Cancelado",J382=""),"",IF(J382&lt;TODAY(),"ATRASADO",IF(J382=TODAY(),"ENTREGA HOJE","")))</f>
        <v/>
      </c>
    </row>
    <row r="383">
      <c r="A383" s="18" t="n"/>
      <c r="B383" s="19" t="n"/>
      <c r="C383" s="20" t="n"/>
      <c r="D383" s="20" t="n"/>
      <c r="E383" s="20" t="n"/>
      <c r="F383" s="18" t="n"/>
      <c r="G383" s="21">
        <f>IF(E383="","",IFERROR(VLOOKUP(E383,'Catálogo'!$A$5:$B$504,2,FALSE),0))</f>
        <v/>
      </c>
      <c r="H383" s="21" t="n"/>
      <c r="I383" s="21">
        <f>IF(E383="","",MAX(F383*G383-N(H383),0))</f>
        <v/>
      </c>
      <c r="J383" s="19" t="n"/>
      <c r="K383" s="20" t="n"/>
      <c r="L383" s="20" t="n"/>
      <c r="M383" s="20" t="n"/>
      <c r="N383" s="20">
        <f>IF(OR(E383="",M383="Entregue",M383="Cancelado",J383=""),"",IF(J383&lt;TODAY(),"ATRASADO",IF(J383=TODAY(),"ENTREGA HOJE","")))</f>
        <v/>
      </c>
    </row>
    <row r="384">
      <c r="A384" s="18" t="n"/>
      <c r="B384" s="19" t="n"/>
      <c r="C384" s="20" t="n"/>
      <c r="D384" s="20" t="n"/>
      <c r="E384" s="20" t="n"/>
      <c r="F384" s="18" t="n"/>
      <c r="G384" s="21">
        <f>IF(E384="","",IFERROR(VLOOKUP(E384,'Catálogo'!$A$5:$B$504,2,FALSE),0))</f>
        <v/>
      </c>
      <c r="H384" s="21" t="n"/>
      <c r="I384" s="21">
        <f>IF(E384="","",MAX(F384*G384-N(H384),0))</f>
        <v/>
      </c>
      <c r="J384" s="19" t="n"/>
      <c r="K384" s="20" t="n"/>
      <c r="L384" s="20" t="n"/>
      <c r="M384" s="20" t="n"/>
      <c r="N384" s="20">
        <f>IF(OR(E384="",M384="Entregue",M384="Cancelado",J384=""),"",IF(J384&lt;TODAY(),"ATRASADO",IF(J384=TODAY(),"ENTREGA HOJE","")))</f>
        <v/>
      </c>
    </row>
    <row r="385">
      <c r="A385" s="18" t="n"/>
      <c r="B385" s="19" t="n"/>
      <c r="C385" s="20" t="n"/>
      <c r="D385" s="20" t="n"/>
      <c r="E385" s="20" t="n"/>
      <c r="F385" s="18" t="n"/>
      <c r="G385" s="21">
        <f>IF(E385="","",IFERROR(VLOOKUP(E385,'Catálogo'!$A$5:$B$504,2,FALSE),0))</f>
        <v/>
      </c>
      <c r="H385" s="21" t="n"/>
      <c r="I385" s="21">
        <f>IF(E385="","",MAX(F385*G385-N(H385),0))</f>
        <v/>
      </c>
      <c r="J385" s="19" t="n"/>
      <c r="K385" s="20" t="n"/>
      <c r="L385" s="20" t="n"/>
      <c r="M385" s="20" t="n"/>
      <c r="N385" s="20">
        <f>IF(OR(E385="",M385="Entregue",M385="Cancelado",J385=""),"",IF(J385&lt;TODAY(),"ATRASADO",IF(J385=TODAY(),"ENTREGA HOJE","")))</f>
        <v/>
      </c>
    </row>
    <row r="386">
      <c r="A386" s="18" t="n"/>
      <c r="B386" s="19" t="n"/>
      <c r="C386" s="20" t="n"/>
      <c r="D386" s="20" t="n"/>
      <c r="E386" s="20" t="n"/>
      <c r="F386" s="18" t="n"/>
      <c r="G386" s="21">
        <f>IF(E386="","",IFERROR(VLOOKUP(E386,'Catálogo'!$A$5:$B$504,2,FALSE),0))</f>
        <v/>
      </c>
      <c r="H386" s="21" t="n"/>
      <c r="I386" s="21">
        <f>IF(E386="","",MAX(F386*G386-N(H386),0))</f>
        <v/>
      </c>
      <c r="J386" s="19" t="n"/>
      <c r="K386" s="20" t="n"/>
      <c r="L386" s="20" t="n"/>
      <c r="M386" s="20" t="n"/>
      <c r="N386" s="20">
        <f>IF(OR(E386="",M386="Entregue",M386="Cancelado",J386=""),"",IF(J386&lt;TODAY(),"ATRASADO",IF(J386=TODAY(),"ENTREGA HOJE","")))</f>
        <v/>
      </c>
    </row>
    <row r="387">
      <c r="A387" s="18" t="n"/>
      <c r="B387" s="19" t="n"/>
      <c r="C387" s="20" t="n"/>
      <c r="D387" s="20" t="n"/>
      <c r="E387" s="20" t="n"/>
      <c r="F387" s="18" t="n"/>
      <c r="G387" s="21">
        <f>IF(E387="","",IFERROR(VLOOKUP(E387,'Catálogo'!$A$5:$B$504,2,FALSE),0))</f>
        <v/>
      </c>
      <c r="H387" s="21" t="n"/>
      <c r="I387" s="21">
        <f>IF(E387="","",MAX(F387*G387-N(H387),0))</f>
        <v/>
      </c>
      <c r="J387" s="19" t="n"/>
      <c r="K387" s="20" t="n"/>
      <c r="L387" s="20" t="n"/>
      <c r="M387" s="20" t="n"/>
      <c r="N387" s="20">
        <f>IF(OR(E387="",M387="Entregue",M387="Cancelado",J387=""),"",IF(J387&lt;TODAY(),"ATRASADO",IF(J387=TODAY(),"ENTREGA HOJE","")))</f>
        <v/>
      </c>
    </row>
    <row r="388">
      <c r="A388" s="18" t="n"/>
      <c r="B388" s="19" t="n"/>
      <c r="C388" s="20" t="n"/>
      <c r="D388" s="20" t="n"/>
      <c r="E388" s="20" t="n"/>
      <c r="F388" s="18" t="n"/>
      <c r="G388" s="21">
        <f>IF(E388="","",IFERROR(VLOOKUP(E388,'Catálogo'!$A$5:$B$504,2,FALSE),0))</f>
        <v/>
      </c>
      <c r="H388" s="21" t="n"/>
      <c r="I388" s="21">
        <f>IF(E388="","",MAX(F388*G388-N(H388),0))</f>
        <v/>
      </c>
      <c r="J388" s="19" t="n"/>
      <c r="K388" s="20" t="n"/>
      <c r="L388" s="20" t="n"/>
      <c r="M388" s="20" t="n"/>
      <c r="N388" s="20">
        <f>IF(OR(E388="",M388="Entregue",M388="Cancelado",J388=""),"",IF(J388&lt;TODAY(),"ATRASADO",IF(J388=TODAY(),"ENTREGA HOJE","")))</f>
        <v/>
      </c>
    </row>
    <row r="389">
      <c r="A389" s="18" t="n"/>
      <c r="B389" s="19" t="n"/>
      <c r="C389" s="20" t="n"/>
      <c r="D389" s="20" t="n"/>
      <c r="E389" s="20" t="n"/>
      <c r="F389" s="18" t="n"/>
      <c r="G389" s="21">
        <f>IF(E389="","",IFERROR(VLOOKUP(E389,'Catálogo'!$A$5:$B$504,2,FALSE),0))</f>
        <v/>
      </c>
      <c r="H389" s="21" t="n"/>
      <c r="I389" s="21">
        <f>IF(E389="","",MAX(F389*G389-N(H389),0))</f>
        <v/>
      </c>
      <c r="J389" s="19" t="n"/>
      <c r="K389" s="20" t="n"/>
      <c r="L389" s="20" t="n"/>
      <c r="M389" s="20" t="n"/>
      <c r="N389" s="20">
        <f>IF(OR(E389="",M389="Entregue",M389="Cancelado",J389=""),"",IF(J389&lt;TODAY(),"ATRASADO",IF(J389=TODAY(),"ENTREGA HOJE","")))</f>
        <v/>
      </c>
    </row>
    <row r="390">
      <c r="A390" s="18" t="n"/>
      <c r="B390" s="19" t="n"/>
      <c r="C390" s="20" t="n"/>
      <c r="D390" s="20" t="n"/>
      <c r="E390" s="20" t="n"/>
      <c r="F390" s="18" t="n"/>
      <c r="G390" s="21">
        <f>IF(E390="","",IFERROR(VLOOKUP(E390,'Catálogo'!$A$5:$B$504,2,FALSE),0))</f>
        <v/>
      </c>
      <c r="H390" s="21" t="n"/>
      <c r="I390" s="21">
        <f>IF(E390="","",MAX(F390*G390-N(H390),0))</f>
        <v/>
      </c>
      <c r="J390" s="19" t="n"/>
      <c r="K390" s="20" t="n"/>
      <c r="L390" s="20" t="n"/>
      <c r="M390" s="20" t="n"/>
      <c r="N390" s="20">
        <f>IF(OR(E390="",M390="Entregue",M390="Cancelado",J390=""),"",IF(J390&lt;TODAY(),"ATRASADO",IF(J390=TODAY(),"ENTREGA HOJE","")))</f>
        <v/>
      </c>
    </row>
    <row r="391">
      <c r="A391" s="18" t="n"/>
      <c r="B391" s="19" t="n"/>
      <c r="C391" s="20" t="n"/>
      <c r="D391" s="20" t="n"/>
      <c r="E391" s="20" t="n"/>
      <c r="F391" s="18" t="n"/>
      <c r="G391" s="21">
        <f>IF(E391="","",IFERROR(VLOOKUP(E391,'Catálogo'!$A$5:$B$504,2,FALSE),0))</f>
        <v/>
      </c>
      <c r="H391" s="21" t="n"/>
      <c r="I391" s="21">
        <f>IF(E391="","",MAX(F391*G391-N(H391),0))</f>
        <v/>
      </c>
      <c r="J391" s="19" t="n"/>
      <c r="K391" s="20" t="n"/>
      <c r="L391" s="20" t="n"/>
      <c r="M391" s="20" t="n"/>
      <c r="N391" s="20">
        <f>IF(OR(E391="",M391="Entregue",M391="Cancelado",J391=""),"",IF(J391&lt;TODAY(),"ATRASADO",IF(J391=TODAY(),"ENTREGA HOJE","")))</f>
        <v/>
      </c>
    </row>
    <row r="392">
      <c r="A392" s="18" t="n"/>
      <c r="B392" s="19" t="n"/>
      <c r="C392" s="20" t="n"/>
      <c r="D392" s="20" t="n"/>
      <c r="E392" s="20" t="n"/>
      <c r="F392" s="18" t="n"/>
      <c r="G392" s="21">
        <f>IF(E392="","",IFERROR(VLOOKUP(E392,'Catálogo'!$A$5:$B$504,2,FALSE),0))</f>
        <v/>
      </c>
      <c r="H392" s="21" t="n"/>
      <c r="I392" s="21">
        <f>IF(E392="","",MAX(F392*G392-N(H392),0))</f>
        <v/>
      </c>
      <c r="J392" s="19" t="n"/>
      <c r="K392" s="20" t="n"/>
      <c r="L392" s="20" t="n"/>
      <c r="M392" s="20" t="n"/>
      <c r="N392" s="20">
        <f>IF(OR(E392="",M392="Entregue",M392="Cancelado",J392=""),"",IF(J392&lt;TODAY(),"ATRASADO",IF(J392=TODAY(),"ENTREGA HOJE","")))</f>
        <v/>
      </c>
    </row>
    <row r="393">
      <c r="A393" s="18" t="n"/>
      <c r="B393" s="19" t="n"/>
      <c r="C393" s="20" t="n"/>
      <c r="D393" s="20" t="n"/>
      <c r="E393" s="20" t="n"/>
      <c r="F393" s="18" t="n"/>
      <c r="G393" s="21">
        <f>IF(E393="","",IFERROR(VLOOKUP(E393,'Catálogo'!$A$5:$B$504,2,FALSE),0))</f>
        <v/>
      </c>
      <c r="H393" s="21" t="n"/>
      <c r="I393" s="21">
        <f>IF(E393="","",MAX(F393*G393-N(H393),0))</f>
        <v/>
      </c>
      <c r="J393" s="19" t="n"/>
      <c r="K393" s="20" t="n"/>
      <c r="L393" s="20" t="n"/>
      <c r="M393" s="20" t="n"/>
      <c r="N393" s="20">
        <f>IF(OR(E393="",M393="Entregue",M393="Cancelado",J393=""),"",IF(J393&lt;TODAY(),"ATRASADO",IF(J393=TODAY(),"ENTREGA HOJE","")))</f>
        <v/>
      </c>
    </row>
    <row r="394">
      <c r="A394" s="18" t="n"/>
      <c r="B394" s="19" t="n"/>
      <c r="C394" s="20" t="n"/>
      <c r="D394" s="20" t="n"/>
      <c r="E394" s="20" t="n"/>
      <c r="F394" s="18" t="n"/>
      <c r="G394" s="21">
        <f>IF(E394="","",IFERROR(VLOOKUP(E394,'Catálogo'!$A$5:$B$504,2,FALSE),0))</f>
        <v/>
      </c>
      <c r="H394" s="21" t="n"/>
      <c r="I394" s="21">
        <f>IF(E394="","",MAX(F394*G394-N(H394),0))</f>
        <v/>
      </c>
      <c r="J394" s="19" t="n"/>
      <c r="K394" s="20" t="n"/>
      <c r="L394" s="20" t="n"/>
      <c r="M394" s="20" t="n"/>
      <c r="N394" s="20">
        <f>IF(OR(E394="",M394="Entregue",M394="Cancelado",J394=""),"",IF(J394&lt;TODAY(),"ATRASADO",IF(J394=TODAY(),"ENTREGA HOJE","")))</f>
        <v/>
      </c>
    </row>
    <row r="395">
      <c r="A395" s="18" t="n"/>
      <c r="B395" s="19" t="n"/>
      <c r="C395" s="20" t="n"/>
      <c r="D395" s="20" t="n"/>
      <c r="E395" s="20" t="n"/>
      <c r="F395" s="18" t="n"/>
      <c r="G395" s="21">
        <f>IF(E395="","",IFERROR(VLOOKUP(E395,'Catálogo'!$A$5:$B$504,2,FALSE),0))</f>
        <v/>
      </c>
      <c r="H395" s="21" t="n"/>
      <c r="I395" s="21">
        <f>IF(E395="","",MAX(F395*G395-N(H395),0))</f>
        <v/>
      </c>
      <c r="J395" s="19" t="n"/>
      <c r="K395" s="20" t="n"/>
      <c r="L395" s="20" t="n"/>
      <c r="M395" s="20" t="n"/>
      <c r="N395" s="20">
        <f>IF(OR(E395="",M395="Entregue",M395="Cancelado",J395=""),"",IF(J395&lt;TODAY(),"ATRASADO",IF(J395=TODAY(),"ENTREGA HOJE","")))</f>
        <v/>
      </c>
    </row>
    <row r="396">
      <c r="A396" s="18" t="n"/>
      <c r="B396" s="19" t="n"/>
      <c r="C396" s="20" t="n"/>
      <c r="D396" s="20" t="n"/>
      <c r="E396" s="20" t="n"/>
      <c r="F396" s="18" t="n"/>
      <c r="G396" s="21">
        <f>IF(E396="","",IFERROR(VLOOKUP(E396,'Catálogo'!$A$5:$B$504,2,FALSE),0))</f>
        <v/>
      </c>
      <c r="H396" s="21" t="n"/>
      <c r="I396" s="21">
        <f>IF(E396="","",MAX(F396*G396-N(H396),0))</f>
        <v/>
      </c>
      <c r="J396" s="19" t="n"/>
      <c r="K396" s="20" t="n"/>
      <c r="L396" s="20" t="n"/>
      <c r="M396" s="20" t="n"/>
      <c r="N396" s="20">
        <f>IF(OR(E396="",M396="Entregue",M396="Cancelado",J396=""),"",IF(J396&lt;TODAY(),"ATRASADO",IF(J396=TODAY(),"ENTREGA HOJE","")))</f>
        <v/>
      </c>
    </row>
    <row r="397">
      <c r="A397" s="18" t="n"/>
      <c r="B397" s="19" t="n"/>
      <c r="C397" s="20" t="n"/>
      <c r="D397" s="20" t="n"/>
      <c r="E397" s="20" t="n"/>
      <c r="F397" s="18" t="n"/>
      <c r="G397" s="21">
        <f>IF(E397="","",IFERROR(VLOOKUP(E397,'Catálogo'!$A$5:$B$504,2,FALSE),0))</f>
        <v/>
      </c>
      <c r="H397" s="21" t="n"/>
      <c r="I397" s="21">
        <f>IF(E397="","",MAX(F397*G397-N(H397),0))</f>
        <v/>
      </c>
      <c r="J397" s="19" t="n"/>
      <c r="K397" s="20" t="n"/>
      <c r="L397" s="20" t="n"/>
      <c r="M397" s="20" t="n"/>
      <c r="N397" s="20">
        <f>IF(OR(E397="",M397="Entregue",M397="Cancelado",J397=""),"",IF(J397&lt;TODAY(),"ATRASADO",IF(J397=TODAY(),"ENTREGA HOJE","")))</f>
        <v/>
      </c>
    </row>
    <row r="398">
      <c r="A398" s="18" t="n"/>
      <c r="B398" s="19" t="n"/>
      <c r="C398" s="20" t="n"/>
      <c r="D398" s="20" t="n"/>
      <c r="E398" s="20" t="n"/>
      <c r="F398" s="18" t="n"/>
      <c r="G398" s="21">
        <f>IF(E398="","",IFERROR(VLOOKUP(E398,'Catálogo'!$A$5:$B$504,2,FALSE),0))</f>
        <v/>
      </c>
      <c r="H398" s="21" t="n"/>
      <c r="I398" s="21">
        <f>IF(E398="","",MAX(F398*G398-N(H398),0))</f>
        <v/>
      </c>
      <c r="J398" s="19" t="n"/>
      <c r="K398" s="20" t="n"/>
      <c r="L398" s="20" t="n"/>
      <c r="M398" s="20" t="n"/>
      <c r="N398" s="20">
        <f>IF(OR(E398="",M398="Entregue",M398="Cancelado",J398=""),"",IF(J398&lt;TODAY(),"ATRASADO",IF(J398=TODAY(),"ENTREGA HOJE","")))</f>
        <v/>
      </c>
    </row>
    <row r="399">
      <c r="A399" s="18" t="n"/>
      <c r="B399" s="19" t="n"/>
      <c r="C399" s="20" t="n"/>
      <c r="D399" s="20" t="n"/>
      <c r="E399" s="20" t="n"/>
      <c r="F399" s="18" t="n"/>
      <c r="G399" s="21">
        <f>IF(E399="","",IFERROR(VLOOKUP(E399,'Catálogo'!$A$5:$B$504,2,FALSE),0))</f>
        <v/>
      </c>
      <c r="H399" s="21" t="n"/>
      <c r="I399" s="21">
        <f>IF(E399="","",MAX(F399*G399-N(H399),0))</f>
        <v/>
      </c>
      <c r="J399" s="19" t="n"/>
      <c r="K399" s="20" t="n"/>
      <c r="L399" s="20" t="n"/>
      <c r="M399" s="20" t="n"/>
      <c r="N399" s="20">
        <f>IF(OR(E399="",M399="Entregue",M399="Cancelado",J399=""),"",IF(J399&lt;TODAY(),"ATRASADO",IF(J399=TODAY(),"ENTREGA HOJE","")))</f>
        <v/>
      </c>
    </row>
    <row r="400">
      <c r="A400" s="18" t="n"/>
      <c r="B400" s="19" t="n"/>
      <c r="C400" s="20" t="n"/>
      <c r="D400" s="20" t="n"/>
      <c r="E400" s="20" t="n"/>
      <c r="F400" s="18" t="n"/>
      <c r="G400" s="21">
        <f>IF(E400="","",IFERROR(VLOOKUP(E400,'Catálogo'!$A$5:$B$504,2,FALSE),0))</f>
        <v/>
      </c>
      <c r="H400" s="21" t="n"/>
      <c r="I400" s="21">
        <f>IF(E400="","",MAX(F400*G400-N(H400),0))</f>
        <v/>
      </c>
      <c r="J400" s="19" t="n"/>
      <c r="K400" s="20" t="n"/>
      <c r="L400" s="20" t="n"/>
      <c r="M400" s="20" t="n"/>
      <c r="N400" s="20">
        <f>IF(OR(E400="",M400="Entregue",M400="Cancelado",J400=""),"",IF(J400&lt;TODAY(),"ATRASADO",IF(J400=TODAY(),"ENTREGA HOJE","")))</f>
        <v/>
      </c>
    </row>
    <row r="401">
      <c r="A401" s="18" t="n"/>
      <c r="B401" s="19" t="n"/>
      <c r="C401" s="20" t="n"/>
      <c r="D401" s="20" t="n"/>
      <c r="E401" s="20" t="n"/>
      <c r="F401" s="18" t="n"/>
      <c r="G401" s="21">
        <f>IF(E401="","",IFERROR(VLOOKUP(E401,'Catálogo'!$A$5:$B$504,2,FALSE),0))</f>
        <v/>
      </c>
      <c r="H401" s="21" t="n"/>
      <c r="I401" s="21">
        <f>IF(E401="","",MAX(F401*G401-N(H401),0))</f>
        <v/>
      </c>
      <c r="J401" s="19" t="n"/>
      <c r="K401" s="20" t="n"/>
      <c r="L401" s="20" t="n"/>
      <c r="M401" s="20" t="n"/>
      <c r="N401" s="20">
        <f>IF(OR(E401="",M401="Entregue",M401="Cancelado",J401=""),"",IF(J401&lt;TODAY(),"ATRASADO",IF(J401=TODAY(),"ENTREGA HOJE","")))</f>
        <v/>
      </c>
    </row>
    <row r="402">
      <c r="A402" s="18" t="n"/>
      <c r="B402" s="19" t="n"/>
      <c r="C402" s="20" t="n"/>
      <c r="D402" s="20" t="n"/>
      <c r="E402" s="20" t="n"/>
      <c r="F402" s="18" t="n"/>
      <c r="G402" s="21">
        <f>IF(E402="","",IFERROR(VLOOKUP(E402,'Catálogo'!$A$5:$B$504,2,FALSE),0))</f>
        <v/>
      </c>
      <c r="H402" s="21" t="n"/>
      <c r="I402" s="21">
        <f>IF(E402="","",MAX(F402*G402-N(H402),0))</f>
        <v/>
      </c>
      <c r="J402" s="19" t="n"/>
      <c r="K402" s="20" t="n"/>
      <c r="L402" s="20" t="n"/>
      <c r="M402" s="20" t="n"/>
      <c r="N402" s="20">
        <f>IF(OR(E402="",M402="Entregue",M402="Cancelado",J402=""),"",IF(J402&lt;TODAY(),"ATRASADO",IF(J402=TODAY(),"ENTREGA HOJE","")))</f>
        <v/>
      </c>
    </row>
    <row r="403">
      <c r="A403" s="18" t="n"/>
      <c r="B403" s="19" t="n"/>
      <c r="C403" s="20" t="n"/>
      <c r="D403" s="20" t="n"/>
      <c r="E403" s="20" t="n"/>
      <c r="F403" s="18" t="n"/>
      <c r="G403" s="21">
        <f>IF(E403="","",IFERROR(VLOOKUP(E403,'Catálogo'!$A$5:$B$504,2,FALSE),0))</f>
        <v/>
      </c>
      <c r="H403" s="21" t="n"/>
      <c r="I403" s="21">
        <f>IF(E403="","",MAX(F403*G403-N(H403),0))</f>
        <v/>
      </c>
      <c r="J403" s="19" t="n"/>
      <c r="K403" s="20" t="n"/>
      <c r="L403" s="20" t="n"/>
      <c r="M403" s="20" t="n"/>
      <c r="N403" s="20">
        <f>IF(OR(E403="",M403="Entregue",M403="Cancelado",J403=""),"",IF(J403&lt;TODAY(),"ATRASADO",IF(J403=TODAY(),"ENTREGA HOJE","")))</f>
        <v/>
      </c>
    </row>
    <row r="404">
      <c r="A404" s="18" t="n"/>
      <c r="B404" s="19" t="n"/>
      <c r="C404" s="20" t="n"/>
      <c r="D404" s="20" t="n"/>
      <c r="E404" s="20" t="n"/>
      <c r="F404" s="18" t="n"/>
      <c r="G404" s="21">
        <f>IF(E404="","",IFERROR(VLOOKUP(E404,'Catálogo'!$A$5:$B$504,2,FALSE),0))</f>
        <v/>
      </c>
      <c r="H404" s="21" t="n"/>
      <c r="I404" s="21">
        <f>IF(E404="","",MAX(F404*G404-N(H404),0))</f>
        <v/>
      </c>
      <c r="J404" s="19" t="n"/>
      <c r="K404" s="20" t="n"/>
      <c r="L404" s="20" t="n"/>
      <c r="M404" s="20" t="n"/>
      <c r="N404" s="20">
        <f>IF(OR(E404="",M404="Entregue",M404="Cancelado",J404=""),"",IF(J404&lt;TODAY(),"ATRASADO",IF(J404=TODAY(),"ENTREGA HOJE","")))</f>
        <v/>
      </c>
    </row>
    <row r="405">
      <c r="A405" s="18" t="n"/>
      <c r="B405" s="19" t="n"/>
      <c r="C405" s="20" t="n"/>
      <c r="D405" s="20" t="n"/>
      <c r="E405" s="20" t="n"/>
      <c r="F405" s="18" t="n"/>
      <c r="G405" s="21">
        <f>IF(E405="","",IFERROR(VLOOKUP(E405,'Catálogo'!$A$5:$B$504,2,FALSE),0))</f>
        <v/>
      </c>
      <c r="H405" s="21" t="n"/>
      <c r="I405" s="21">
        <f>IF(E405="","",MAX(F405*G405-N(H405),0))</f>
        <v/>
      </c>
      <c r="J405" s="19" t="n"/>
      <c r="K405" s="20" t="n"/>
      <c r="L405" s="20" t="n"/>
      <c r="M405" s="20" t="n"/>
      <c r="N405" s="20">
        <f>IF(OR(E405="",M405="Entregue",M405="Cancelado",J405=""),"",IF(J405&lt;TODAY(),"ATRASADO",IF(J405=TODAY(),"ENTREGA HOJE","")))</f>
        <v/>
      </c>
    </row>
    <row r="406">
      <c r="A406" s="18" t="n"/>
      <c r="B406" s="19" t="n"/>
      <c r="C406" s="20" t="n"/>
      <c r="D406" s="20" t="n"/>
      <c r="E406" s="20" t="n"/>
      <c r="F406" s="18" t="n"/>
      <c r="G406" s="21">
        <f>IF(E406="","",IFERROR(VLOOKUP(E406,'Catálogo'!$A$5:$B$504,2,FALSE),0))</f>
        <v/>
      </c>
      <c r="H406" s="21" t="n"/>
      <c r="I406" s="21">
        <f>IF(E406="","",MAX(F406*G406-N(H406),0))</f>
        <v/>
      </c>
      <c r="J406" s="19" t="n"/>
      <c r="K406" s="20" t="n"/>
      <c r="L406" s="20" t="n"/>
      <c r="M406" s="20" t="n"/>
      <c r="N406" s="20">
        <f>IF(OR(E406="",M406="Entregue",M406="Cancelado",J406=""),"",IF(J406&lt;TODAY(),"ATRASADO",IF(J406=TODAY(),"ENTREGA HOJE","")))</f>
        <v/>
      </c>
    </row>
    <row r="407">
      <c r="A407" s="18" t="n"/>
      <c r="B407" s="19" t="n"/>
      <c r="C407" s="20" t="n"/>
      <c r="D407" s="20" t="n"/>
      <c r="E407" s="20" t="n"/>
      <c r="F407" s="18" t="n"/>
      <c r="G407" s="21">
        <f>IF(E407="","",IFERROR(VLOOKUP(E407,'Catálogo'!$A$5:$B$504,2,FALSE),0))</f>
        <v/>
      </c>
      <c r="H407" s="21" t="n"/>
      <c r="I407" s="21">
        <f>IF(E407="","",MAX(F407*G407-N(H407),0))</f>
        <v/>
      </c>
      <c r="J407" s="19" t="n"/>
      <c r="K407" s="20" t="n"/>
      <c r="L407" s="20" t="n"/>
      <c r="M407" s="20" t="n"/>
      <c r="N407" s="20">
        <f>IF(OR(E407="",M407="Entregue",M407="Cancelado",J407=""),"",IF(J407&lt;TODAY(),"ATRASADO",IF(J407=TODAY(),"ENTREGA HOJE","")))</f>
        <v/>
      </c>
    </row>
    <row r="408">
      <c r="A408" s="18" t="n"/>
      <c r="B408" s="19" t="n"/>
      <c r="C408" s="20" t="n"/>
      <c r="D408" s="20" t="n"/>
      <c r="E408" s="20" t="n"/>
      <c r="F408" s="18" t="n"/>
      <c r="G408" s="21">
        <f>IF(E408="","",IFERROR(VLOOKUP(E408,'Catálogo'!$A$5:$B$504,2,FALSE),0))</f>
        <v/>
      </c>
      <c r="H408" s="21" t="n"/>
      <c r="I408" s="21">
        <f>IF(E408="","",MAX(F408*G408-N(H408),0))</f>
        <v/>
      </c>
      <c r="J408" s="19" t="n"/>
      <c r="K408" s="20" t="n"/>
      <c r="L408" s="20" t="n"/>
      <c r="M408" s="20" t="n"/>
      <c r="N408" s="20">
        <f>IF(OR(E408="",M408="Entregue",M408="Cancelado",J408=""),"",IF(J408&lt;TODAY(),"ATRASADO",IF(J408=TODAY(),"ENTREGA HOJE","")))</f>
        <v/>
      </c>
    </row>
    <row r="409">
      <c r="A409" s="18" t="n"/>
      <c r="B409" s="19" t="n"/>
      <c r="C409" s="20" t="n"/>
      <c r="D409" s="20" t="n"/>
      <c r="E409" s="20" t="n"/>
      <c r="F409" s="18" t="n"/>
      <c r="G409" s="21">
        <f>IF(E409="","",IFERROR(VLOOKUP(E409,'Catálogo'!$A$5:$B$504,2,FALSE),0))</f>
        <v/>
      </c>
      <c r="H409" s="21" t="n"/>
      <c r="I409" s="21">
        <f>IF(E409="","",MAX(F409*G409-N(H409),0))</f>
        <v/>
      </c>
      <c r="J409" s="19" t="n"/>
      <c r="K409" s="20" t="n"/>
      <c r="L409" s="20" t="n"/>
      <c r="M409" s="20" t="n"/>
      <c r="N409" s="20">
        <f>IF(OR(E409="",M409="Entregue",M409="Cancelado",J409=""),"",IF(J409&lt;TODAY(),"ATRASADO",IF(J409=TODAY(),"ENTREGA HOJE","")))</f>
        <v/>
      </c>
    </row>
    <row r="410">
      <c r="A410" s="18" t="n"/>
      <c r="B410" s="19" t="n"/>
      <c r="C410" s="20" t="n"/>
      <c r="D410" s="20" t="n"/>
      <c r="E410" s="20" t="n"/>
      <c r="F410" s="18" t="n"/>
      <c r="G410" s="21">
        <f>IF(E410="","",IFERROR(VLOOKUP(E410,'Catálogo'!$A$5:$B$504,2,FALSE),0))</f>
        <v/>
      </c>
      <c r="H410" s="21" t="n"/>
      <c r="I410" s="21">
        <f>IF(E410="","",MAX(F410*G410-N(H410),0))</f>
        <v/>
      </c>
      <c r="J410" s="19" t="n"/>
      <c r="K410" s="20" t="n"/>
      <c r="L410" s="20" t="n"/>
      <c r="M410" s="20" t="n"/>
      <c r="N410" s="20">
        <f>IF(OR(E410="",M410="Entregue",M410="Cancelado",J410=""),"",IF(J410&lt;TODAY(),"ATRASADO",IF(J410=TODAY(),"ENTREGA HOJE","")))</f>
        <v/>
      </c>
    </row>
    <row r="411">
      <c r="A411" s="18" t="n"/>
      <c r="B411" s="19" t="n"/>
      <c r="C411" s="20" t="n"/>
      <c r="D411" s="20" t="n"/>
      <c r="E411" s="20" t="n"/>
      <c r="F411" s="18" t="n"/>
      <c r="G411" s="21">
        <f>IF(E411="","",IFERROR(VLOOKUP(E411,'Catálogo'!$A$5:$B$504,2,FALSE),0))</f>
        <v/>
      </c>
      <c r="H411" s="21" t="n"/>
      <c r="I411" s="21">
        <f>IF(E411="","",MAX(F411*G411-N(H411),0))</f>
        <v/>
      </c>
      <c r="J411" s="19" t="n"/>
      <c r="K411" s="20" t="n"/>
      <c r="L411" s="20" t="n"/>
      <c r="M411" s="20" t="n"/>
      <c r="N411" s="20">
        <f>IF(OR(E411="",M411="Entregue",M411="Cancelado",J411=""),"",IF(J411&lt;TODAY(),"ATRASADO",IF(J411=TODAY(),"ENTREGA HOJE","")))</f>
        <v/>
      </c>
    </row>
    <row r="412">
      <c r="A412" s="18" t="n"/>
      <c r="B412" s="19" t="n"/>
      <c r="C412" s="20" t="n"/>
      <c r="D412" s="20" t="n"/>
      <c r="E412" s="20" t="n"/>
      <c r="F412" s="18" t="n"/>
      <c r="G412" s="21">
        <f>IF(E412="","",IFERROR(VLOOKUP(E412,'Catálogo'!$A$5:$B$504,2,FALSE),0))</f>
        <v/>
      </c>
      <c r="H412" s="21" t="n"/>
      <c r="I412" s="21">
        <f>IF(E412="","",MAX(F412*G412-N(H412),0))</f>
        <v/>
      </c>
      <c r="J412" s="19" t="n"/>
      <c r="K412" s="20" t="n"/>
      <c r="L412" s="20" t="n"/>
      <c r="M412" s="20" t="n"/>
      <c r="N412" s="20">
        <f>IF(OR(E412="",M412="Entregue",M412="Cancelado",J412=""),"",IF(J412&lt;TODAY(),"ATRASADO",IF(J412=TODAY(),"ENTREGA HOJE","")))</f>
        <v/>
      </c>
    </row>
    <row r="413">
      <c r="A413" s="18" t="n"/>
      <c r="B413" s="19" t="n"/>
      <c r="C413" s="20" t="n"/>
      <c r="D413" s="20" t="n"/>
      <c r="E413" s="20" t="n"/>
      <c r="F413" s="18" t="n"/>
      <c r="G413" s="21">
        <f>IF(E413="","",IFERROR(VLOOKUP(E413,'Catálogo'!$A$5:$B$504,2,FALSE),0))</f>
        <v/>
      </c>
      <c r="H413" s="21" t="n"/>
      <c r="I413" s="21">
        <f>IF(E413="","",MAX(F413*G413-N(H413),0))</f>
        <v/>
      </c>
      <c r="J413" s="19" t="n"/>
      <c r="K413" s="20" t="n"/>
      <c r="L413" s="20" t="n"/>
      <c r="M413" s="20" t="n"/>
      <c r="N413" s="20">
        <f>IF(OR(E413="",M413="Entregue",M413="Cancelado",J413=""),"",IF(J413&lt;TODAY(),"ATRASADO",IF(J413=TODAY(),"ENTREGA HOJE","")))</f>
        <v/>
      </c>
    </row>
    <row r="414">
      <c r="A414" s="18" t="n"/>
      <c r="B414" s="19" t="n"/>
      <c r="C414" s="20" t="n"/>
      <c r="D414" s="20" t="n"/>
      <c r="E414" s="20" t="n"/>
      <c r="F414" s="18" t="n"/>
      <c r="G414" s="21">
        <f>IF(E414="","",IFERROR(VLOOKUP(E414,'Catálogo'!$A$5:$B$504,2,FALSE),0))</f>
        <v/>
      </c>
      <c r="H414" s="21" t="n"/>
      <c r="I414" s="21">
        <f>IF(E414="","",MAX(F414*G414-N(H414),0))</f>
        <v/>
      </c>
      <c r="J414" s="19" t="n"/>
      <c r="K414" s="20" t="n"/>
      <c r="L414" s="20" t="n"/>
      <c r="M414" s="20" t="n"/>
      <c r="N414" s="20">
        <f>IF(OR(E414="",M414="Entregue",M414="Cancelado",J414=""),"",IF(J414&lt;TODAY(),"ATRASADO",IF(J414=TODAY(),"ENTREGA HOJE","")))</f>
        <v/>
      </c>
    </row>
    <row r="415">
      <c r="A415" s="18" t="n"/>
      <c r="B415" s="19" t="n"/>
      <c r="C415" s="20" t="n"/>
      <c r="D415" s="20" t="n"/>
      <c r="E415" s="20" t="n"/>
      <c r="F415" s="18" t="n"/>
      <c r="G415" s="21">
        <f>IF(E415="","",IFERROR(VLOOKUP(E415,'Catálogo'!$A$5:$B$504,2,FALSE),0))</f>
        <v/>
      </c>
      <c r="H415" s="21" t="n"/>
      <c r="I415" s="21">
        <f>IF(E415="","",MAX(F415*G415-N(H415),0))</f>
        <v/>
      </c>
      <c r="J415" s="19" t="n"/>
      <c r="K415" s="20" t="n"/>
      <c r="L415" s="20" t="n"/>
      <c r="M415" s="20" t="n"/>
      <c r="N415" s="20">
        <f>IF(OR(E415="",M415="Entregue",M415="Cancelado",J415=""),"",IF(J415&lt;TODAY(),"ATRASADO",IF(J415=TODAY(),"ENTREGA HOJE","")))</f>
        <v/>
      </c>
    </row>
    <row r="416">
      <c r="A416" s="18" t="n"/>
      <c r="B416" s="19" t="n"/>
      <c r="C416" s="20" t="n"/>
      <c r="D416" s="20" t="n"/>
      <c r="E416" s="20" t="n"/>
      <c r="F416" s="18" t="n"/>
      <c r="G416" s="21">
        <f>IF(E416="","",IFERROR(VLOOKUP(E416,'Catálogo'!$A$5:$B$504,2,FALSE),0))</f>
        <v/>
      </c>
      <c r="H416" s="21" t="n"/>
      <c r="I416" s="21">
        <f>IF(E416="","",MAX(F416*G416-N(H416),0))</f>
        <v/>
      </c>
      <c r="J416" s="19" t="n"/>
      <c r="K416" s="20" t="n"/>
      <c r="L416" s="20" t="n"/>
      <c r="M416" s="20" t="n"/>
      <c r="N416" s="20">
        <f>IF(OR(E416="",M416="Entregue",M416="Cancelado",J416=""),"",IF(J416&lt;TODAY(),"ATRASADO",IF(J416=TODAY(),"ENTREGA HOJE","")))</f>
        <v/>
      </c>
    </row>
    <row r="417">
      <c r="A417" s="18" t="n"/>
      <c r="B417" s="19" t="n"/>
      <c r="C417" s="20" t="n"/>
      <c r="D417" s="20" t="n"/>
      <c r="E417" s="20" t="n"/>
      <c r="F417" s="18" t="n"/>
      <c r="G417" s="21">
        <f>IF(E417="","",IFERROR(VLOOKUP(E417,'Catálogo'!$A$5:$B$504,2,FALSE),0))</f>
        <v/>
      </c>
      <c r="H417" s="21" t="n"/>
      <c r="I417" s="21">
        <f>IF(E417="","",MAX(F417*G417-N(H417),0))</f>
        <v/>
      </c>
      <c r="J417" s="19" t="n"/>
      <c r="K417" s="20" t="n"/>
      <c r="L417" s="20" t="n"/>
      <c r="M417" s="20" t="n"/>
      <c r="N417" s="20">
        <f>IF(OR(E417="",M417="Entregue",M417="Cancelado",J417=""),"",IF(J417&lt;TODAY(),"ATRASADO",IF(J417=TODAY(),"ENTREGA HOJE","")))</f>
        <v/>
      </c>
    </row>
    <row r="418">
      <c r="A418" s="18" t="n"/>
      <c r="B418" s="19" t="n"/>
      <c r="C418" s="20" t="n"/>
      <c r="D418" s="20" t="n"/>
      <c r="E418" s="20" t="n"/>
      <c r="F418" s="18" t="n"/>
      <c r="G418" s="21">
        <f>IF(E418="","",IFERROR(VLOOKUP(E418,'Catálogo'!$A$5:$B$504,2,FALSE),0))</f>
        <v/>
      </c>
      <c r="H418" s="21" t="n"/>
      <c r="I418" s="21">
        <f>IF(E418="","",MAX(F418*G418-N(H418),0))</f>
        <v/>
      </c>
      <c r="J418" s="19" t="n"/>
      <c r="K418" s="20" t="n"/>
      <c r="L418" s="20" t="n"/>
      <c r="M418" s="20" t="n"/>
      <c r="N418" s="20">
        <f>IF(OR(E418="",M418="Entregue",M418="Cancelado",J418=""),"",IF(J418&lt;TODAY(),"ATRASADO",IF(J418=TODAY(),"ENTREGA HOJE","")))</f>
        <v/>
      </c>
    </row>
    <row r="419">
      <c r="A419" s="18" t="n"/>
      <c r="B419" s="19" t="n"/>
      <c r="C419" s="20" t="n"/>
      <c r="D419" s="20" t="n"/>
      <c r="E419" s="20" t="n"/>
      <c r="F419" s="18" t="n"/>
      <c r="G419" s="21">
        <f>IF(E419="","",IFERROR(VLOOKUP(E419,'Catálogo'!$A$5:$B$504,2,FALSE),0))</f>
        <v/>
      </c>
      <c r="H419" s="21" t="n"/>
      <c r="I419" s="21">
        <f>IF(E419="","",MAX(F419*G419-N(H419),0))</f>
        <v/>
      </c>
      <c r="J419" s="19" t="n"/>
      <c r="K419" s="20" t="n"/>
      <c r="L419" s="20" t="n"/>
      <c r="M419" s="20" t="n"/>
      <c r="N419" s="20">
        <f>IF(OR(E419="",M419="Entregue",M419="Cancelado",J419=""),"",IF(J419&lt;TODAY(),"ATRASADO",IF(J419=TODAY(),"ENTREGA HOJE","")))</f>
        <v/>
      </c>
    </row>
    <row r="420">
      <c r="A420" s="18" t="n"/>
      <c r="B420" s="19" t="n"/>
      <c r="C420" s="20" t="n"/>
      <c r="D420" s="20" t="n"/>
      <c r="E420" s="20" t="n"/>
      <c r="F420" s="18" t="n"/>
      <c r="G420" s="21">
        <f>IF(E420="","",IFERROR(VLOOKUP(E420,'Catálogo'!$A$5:$B$504,2,FALSE),0))</f>
        <v/>
      </c>
      <c r="H420" s="21" t="n"/>
      <c r="I420" s="21">
        <f>IF(E420="","",MAX(F420*G420-N(H420),0))</f>
        <v/>
      </c>
      <c r="J420" s="19" t="n"/>
      <c r="K420" s="20" t="n"/>
      <c r="L420" s="20" t="n"/>
      <c r="M420" s="20" t="n"/>
      <c r="N420" s="20">
        <f>IF(OR(E420="",M420="Entregue",M420="Cancelado",J420=""),"",IF(J420&lt;TODAY(),"ATRASADO",IF(J420=TODAY(),"ENTREGA HOJE","")))</f>
        <v/>
      </c>
    </row>
    <row r="421">
      <c r="A421" s="18" t="n"/>
      <c r="B421" s="19" t="n"/>
      <c r="C421" s="20" t="n"/>
      <c r="D421" s="20" t="n"/>
      <c r="E421" s="20" t="n"/>
      <c r="F421" s="18" t="n"/>
      <c r="G421" s="21">
        <f>IF(E421="","",IFERROR(VLOOKUP(E421,'Catálogo'!$A$5:$B$504,2,FALSE),0))</f>
        <v/>
      </c>
      <c r="H421" s="21" t="n"/>
      <c r="I421" s="21">
        <f>IF(E421="","",MAX(F421*G421-N(H421),0))</f>
        <v/>
      </c>
      <c r="J421" s="19" t="n"/>
      <c r="K421" s="20" t="n"/>
      <c r="L421" s="20" t="n"/>
      <c r="M421" s="20" t="n"/>
      <c r="N421" s="20">
        <f>IF(OR(E421="",M421="Entregue",M421="Cancelado",J421=""),"",IF(J421&lt;TODAY(),"ATRASADO",IF(J421=TODAY(),"ENTREGA HOJE","")))</f>
        <v/>
      </c>
    </row>
    <row r="422">
      <c r="A422" s="18" t="n"/>
      <c r="B422" s="19" t="n"/>
      <c r="C422" s="20" t="n"/>
      <c r="D422" s="20" t="n"/>
      <c r="E422" s="20" t="n"/>
      <c r="F422" s="18" t="n"/>
      <c r="G422" s="21">
        <f>IF(E422="","",IFERROR(VLOOKUP(E422,'Catálogo'!$A$5:$B$504,2,FALSE),0))</f>
        <v/>
      </c>
      <c r="H422" s="21" t="n"/>
      <c r="I422" s="21">
        <f>IF(E422="","",MAX(F422*G422-N(H422),0))</f>
        <v/>
      </c>
      <c r="J422" s="19" t="n"/>
      <c r="K422" s="20" t="n"/>
      <c r="L422" s="20" t="n"/>
      <c r="M422" s="20" t="n"/>
      <c r="N422" s="20">
        <f>IF(OR(E422="",M422="Entregue",M422="Cancelado",J422=""),"",IF(J422&lt;TODAY(),"ATRASADO",IF(J422=TODAY(),"ENTREGA HOJE","")))</f>
        <v/>
      </c>
    </row>
    <row r="423">
      <c r="A423" s="18" t="n"/>
      <c r="B423" s="19" t="n"/>
      <c r="C423" s="20" t="n"/>
      <c r="D423" s="20" t="n"/>
      <c r="E423" s="20" t="n"/>
      <c r="F423" s="18" t="n"/>
      <c r="G423" s="21">
        <f>IF(E423="","",IFERROR(VLOOKUP(E423,'Catálogo'!$A$5:$B$504,2,FALSE),0))</f>
        <v/>
      </c>
      <c r="H423" s="21" t="n"/>
      <c r="I423" s="21">
        <f>IF(E423="","",MAX(F423*G423-N(H423),0))</f>
        <v/>
      </c>
      <c r="J423" s="19" t="n"/>
      <c r="K423" s="20" t="n"/>
      <c r="L423" s="20" t="n"/>
      <c r="M423" s="20" t="n"/>
      <c r="N423" s="20">
        <f>IF(OR(E423="",M423="Entregue",M423="Cancelado",J423=""),"",IF(J423&lt;TODAY(),"ATRASADO",IF(J423=TODAY(),"ENTREGA HOJE","")))</f>
        <v/>
      </c>
    </row>
    <row r="424">
      <c r="A424" s="18" t="n"/>
      <c r="B424" s="19" t="n"/>
      <c r="C424" s="20" t="n"/>
      <c r="D424" s="20" t="n"/>
      <c r="E424" s="20" t="n"/>
      <c r="F424" s="18" t="n"/>
      <c r="G424" s="21">
        <f>IF(E424="","",IFERROR(VLOOKUP(E424,'Catálogo'!$A$5:$B$504,2,FALSE),0))</f>
        <v/>
      </c>
      <c r="H424" s="21" t="n"/>
      <c r="I424" s="21">
        <f>IF(E424="","",MAX(F424*G424-N(H424),0))</f>
        <v/>
      </c>
      <c r="J424" s="19" t="n"/>
      <c r="K424" s="20" t="n"/>
      <c r="L424" s="20" t="n"/>
      <c r="M424" s="20" t="n"/>
      <c r="N424" s="20">
        <f>IF(OR(E424="",M424="Entregue",M424="Cancelado",J424=""),"",IF(J424&lt;TODAY(),"ATRASADO",IF(J424=TODAY(),"ENTREGA HOJE","")))</f>
        <v/>
      </c>
    </row>
    <row r="425">
      <c r="A425" s="18" t="n"/>
      <c r="B425" s="19" t="n"/>
      <c r="C425" s="20" t="n"/>
      <c r="D425" s="20" t="n"/>
      <c r="E425" s="20" t="n"/>
      <c r="F425" s="18" t="n"/>
      <c r="G425" s="21">
        <f>IF(E425="","",IFERROR(VLOOKUP(E425,'Catálogo'!$A$5:$B$504,2,FALSE),0))</f>
        <v/>
      </c>
      <c r="H425" s="21" t="n"/>
      <c r="I425" s="21">
        <f>IF(E425="","",MAX(F425*G425-N(H425),0))</f>
        <v/>
      </c>
      <c r="J425" s="19" t="n"/>
      <c r="K425" s="20" t="n"/>
      <c r="L425" s="20" t="n"/>
      <c r="M425" s="20" t="n"/>
      <c r="N425" s="20">
        <f>IF(OR(E425="",M425="Entregue",M425="Cancelado",J425=""),"",IF(J425&lt;TODAY(),"ATRASADO",IF(J425=TODAY(),"ENTREGA HOJE","")))</f>
        <v/>
      </c>
    </row>
    <row r="426">
      <c r="A426" s="18" t="n"/>
      <c r="B426" s="19" t="n"/>
      <c r="C426" s="20" t="n"/>
      <c r="D426" s="20" t="n"/>
      <c r="E426" s="20" t="n"/>
      <c r="F426" s="18" t="n"/>
      <c r="G426" s="21">
        <f>IF(E426="","",IFERROR(VLOOKUP(E426,'Catálogo'!$A$5:$B$504,2,FALSE),0))</f>
        <v/>
      </c>
      <c r="H426" s="21" t="n"/>
      <c r="I426" s="21">
        <f>IF(E426="","",MAX(F426*G426-N(H426),0))</f>
        <v/>
      </c>
      <c r="J426" s="19" t="n"/>
      <c r="K426" s="20" t="n"/>
      <c r="L426" s="20" t="n"/>
      <c r="M426" s="20" t="n"/>
      <c r="N426" s="20">
        <f>IF(OR(E426="",M426="Entregue",M426="Cancelado",J426=""),"",IF(J426&lt;TODAY(),"ATRASADO",IF(J426=TODAY(),"ENTREGA HOJE","")))</f>
        <v/>
      </c>
    </row>
    <row r="427">
      <c r="A427" s="18" t="n"/>
      <c r="B427" s="19" t="n"/>
      <c r="C427" s="20" t="n"/>
      <c r="D427" s="20" t="n"/>
      <c r="E427" s="20" t="n"/>
      <c r="F427" s="18" t="n"/>
      <c r="G427" s="21">
        <f>IF(E427="","",IFERROR(VLOOKUP(E427,'Catálogo'!$A$5:$B$504,2,FALSE),0))</f>
        <v/>
      </c>
      <c r="H427" s="21" t="n"/>
      <c r="I427" s="21">
        <f>IF(E427="","",MAX(F427*G427-N(H427),0))</f>
        <v/>
      </c>
      <c r="J427" s="19" t="n"/>
      <c r="K427" s="20" t="n"/>
      <c r="L427" s="20" t="n"/>
      <c r="M427" s="20" t="n"/>
      <c r="N427" s="20">
        <f>IF(OR(E427="",M427="Entregue",M427="Cancelado",J427=""),"",IF(J427&lt;TODAY(),"ATRASADO",IF(J427=TODAY(),"ENTREGA HOJE","")))</f>
        <v/>
      </c>
    </row>
    <row r="428">
      <c r="A428" s="18" t="n"/>
      <c r="B428" s="19" t="n"/>
      <c r="C428" s="20" t="n"/>
      <c r="D428" s="20" t="n"/>
      <c r="E428" s="20" t="n"/>
      <c r="F428" s="18" t="n"/>
      <c r="G428" s="21">
        <f>IF(E428="","",IFERROR(VLOOKUP(E428,'Catálogo'!$A$5:$B$504,2,FALSE),0))</f>
        <v/>
      </c>
      <c r="H428" s="21" t="n"/>
      <c r="I428" s="21">
        <f>IF(E428="","",MAX(F428*G428-N(H428),0))</f>
        <v/>
      </c>
      <c r="J428" s="19" t="n"/>
      <c r="K428" s="20" t="n"/>
      <c r="L428" s="20" t="n"/>
      <c r="M428" s="20" t="n"/>
      <c r="N428" s="20">
        <f>IF(OR(E428="",M428="Entregue",M428="Cancelado",J428=""),"",IF(J428&lt;TODAY(),"ATRASADO",IF(J428=TODAY(),"ENTREGA HOJE","")))</f>
        <v/>
      </c>
    </row>
    <row r="429">
      <c r="A429" s="18" t="n"/>
      <c r="B429" s="19" t="n"/>
      <c r="C429" s="20" t="n"/>
      <c r="D429" s="20" t="n"/>
      <c r="E429" s="20" t="n"/>
      <c r="F429" s="18" t="n"/>
      <c r="G429" s="21">
        <f>IF(E429="","",IFERROR(VLOOKUP(E429,'Catálogo'!$A$5:$B$504,2,FALSE),0))</f>
        <v/>
      </c>
      <c r="H429" s="21" t="n"/>
      <c r="I429" s="21">
        <f>IF(E429="","",MAX(F429*G429-N(H429),0))</f>
        <v/>
      </c>
      <c r="J429" s="19" t="n"/>
      <c r="K429" s="20" t="n"/>
      <c r="L429" s="20" t="n"/>
      <c r="M429" s="20" t="n"/>
      <c r="N429" s="20">
        <f>IF(OR(E429="",M429="Entregue",M429="Cancelado",J429=""),"",IF(J429&lt;TODAY(),"ATRASADO",IF(J429=TODAY(),"ENTREGA HOJE","")))</f>
        <v/>
      </c>
    </row>
    <row r="430">
      <c r="A430" s="18" t="n"/>
      <c r="B430" s="19" t="n"/>
      <c r="C430" s="20" t="n"/>
      <c r="D430" s="20" t="n"/>
      <c r="E430" s="20" t="n"/>
      <c r="F430" s="18" t="n"/>
      <c r="G430" s="21">
        <f>IF(E430="","",IFERROR(VLOOKUP(E430,'Catálogo'!$A$5:$B$504,2,FALSE),0))</f>
        <v/>
      </c>
      <c r="H430" s="21" t="n"/>
      <c r="I430" s="21">
        <f>IF(E430="","",MAX(F430*G430-N(H430),0))</f>
        <v/>
      </c>
      <c r="J430" s="19" t="n"/>
      <c r="K430" s="20" t="n"/>
      <c r="L430" s="20" t="n"/>
      <c r="M430" s="20" t="n"/>
      <c r="N430" s="20">
        <f>IF(OR(E430="",M430="Entregue",M430="Cancelado",J430=""),"",IF(J430&lt;TODAY(),"ATRASADO",IF(J430=TODAY(),"ENTREGA HOJE","")))</f>
        <v/>
      </c>
    </row>
    <row r="431">
      <c r="A431" s="18" t="n"/>
      <c r="B431" s="19" t="n"/>
      <c r="C431" s="20" t="n"/>
      <c r="D431" s="20" t="n"/>
      <c r="E431" s="20" t="n"/>
      <c r="F431" s="18" t="n"/>
      <c r="G431" s="21">
        <f>IF(E431="","",IFERROR(VLOOKUP(E431,'Catálogo'!$A$5:$B$504,2,FALSE),0))</f>
        <v/>
      </c>
      <c r="H431" s="21" t="n"/>
      <c r="I431" s="21">
        <f>IF(E431="","",MAX(F431*G431-N(H431),0))</f>
        <v/>
      </c>
      <c r="J431" s="19" t="n"/>
      <c r="K431" s="20" t="n"/>
      <c r="L431" s="20" t="n"/>
      <c r="M431" s="20" t="n"/>
      <c r="N431" s="20">
        <f>IF(OR(E431="",M431="Entregue",M431="Cancelado",J431=""),"",IF(J431&lt;TODAY(),"ATRASADO",IF(J431=TODAY(),"ENTREGA HOJE","")))</f>
        <v/>
      </c>
    </row>
    <row r="432">
      <c r="A432" s="18" t="n"/>
      <c r="B432" s="19" t="n"/>
      <c r="C432" s="20" t="n"/>
      <c r="D432" s="20" t="n"/>
      <c r="E432" s="20" t="n"/>
      <c r="F432" s="18" t="n"/>
      <c r="G432" s="21">
        <f>IF(E432="","",IFERROR(VLOOKUP(E432,'Catálogo'!$A$5:$B$504,2,FALSE),0))</f>
        <v/>
      </c>
      <c r="H432" s="21" t="n"/>
      <c r="I432" s="21">
        <f>IF(E432="","",MAX(F432*G432-N(H432),0))</f>
        <v/>
      </c>
      <c r="J432" s="19" t="n"/>
      <c r="K432" s="20" t="n"/>
      <c r="L432" s="20" t="n"/>
      <c r="M432" s="20" t="n"/>
      <c r="N432" s="20">
        <f>IF(OR(E432="",M432="Entregue",M432="Cancelado",J432=""),"",IF(J432&lt;TODAY(),"ATRASADO",IF(J432=TODAY(),"ENTREGA HOJE","")))</f>
        <v/>
      </c>
    </row>
    <row r="433">
      <c r="A433" s="18" t="n"/>
      <c r="B433" s="19" t="n"/>
      <c r="C433" s="20" t="n"/>
      <c r="D433" s="20" t="n"/>
      <c r="E433" s="20" t="n"/>
      <c r="F433" s="18" t="n"/>
      <c r="G433" s="21">
        <f>IF(E433="","",IFERROR(VLOOKUP(E433,'Catálogo'!$A$5:$B$504,2,FALSE),0))</f>
        <v/>
      </c>
      <c r="H433" s="21" t="n"/>
      <c r="I433" s="21">
        <f>IF(E433="","",MAX(F433*G433-N(H433),0))</f>
        <v/>
      </c>
      <c r="J433" s="19" t="n"/>
      <c r="K433" s="20" t="n"/>
      <c r="L433" s="20" t="n"/>
      <c r="M433" s="20" t="n"/>
      <c r="N433" s="20">
        <f>IF(OR(E433="",M433="Entregue",M433="Cancelado",J433=""),"",IF(J433&lt;TODAY(),"ATRASADO",IF(J433=TODAY(),"ENTREGA HOJE","")))</f>
        <v/>
      </c>
    </row>
    <row r="434">
      <c r="A434" s="18" t="n"/>
      <c r="B434" s="19" t="n"/>
      <c r="C434" s="20" t="n"/>
      <c r="D434" s="20" t="n"/>
      <c r="E434" s="20" t="n"/>
      <c r="F434" s="18" t="n"/>
      <c r="G434" s="21">
        <f>IF(E434="","",IFERROR(VLOOKUP(E434,'Catálogo'!$A$5:$B$504,2,FALSE),0))</f>
        <v/>
      </c>
      <c r="H434" s="21" t="n"/>
      <c r="I434" s="21">
        <f>IF(E434="","",MAX(F434*G434-N(H434),0))</f>
        <v/>
      </c>
      <c r="J434" s="19" t="n"/>
      <c r="K434" s="20" t="n"/>
      <c r="L434" s="20" t="n"/>
      <c r="M434" s="20" t="n"/>
      <c r="N434" s="20">
        <f>IF(OR(E434="",M434="Entregue",M434="Cancelado",J434=""),"",IF(J434&lt;TODAY(),"ATRASADO",IF(J434=TODAY(),"ENTREGA HOJE","")))</f>
        <v/>
      </c>
    </row>
    <row r="435">
      <c r="A435" s="18" t="n"/>
      <c r="B435" s="19" t="n"/>
      <c r="C435" s="20" t="n"/>
      <c r="D435" s="20" t="n"/>
      <c r="E435" s="20" t="n"/>
      <c r="F435" s="18" t="n"/>
      <c r="G435" s="21">
        <f>IF(E435="","",IFERROR(VLOOKUP(E435,'Catálogo'!$A$5:$B$504,2,FALSE),0))</f>
        <v/>
      </c>
      <c r="H435" s="21" t="n"/>
      <c r="I435" s="21">
        <f>IF(E435="","",MAX(F435*G435-N(H435),0))</f>
        <v/>
      </c>
      <c r="J435" s="19" t="n"/>
      <c r="K435" s="20" t="n"/>
      <c r="L435" s="20" t="n"/>
      <c r="M435" s="20" t="n"/>
      <c r="N435" s="20">
        <f>IF(OR(E435="",M435="Entregue",M435="Cancelado",J435=""),"",IF(J435&lt;TODAY(),"ATRASADO",IF(J435=TODAY(),"ENTREGA HOJE","")))</f>
        <v/>
      </c>
    </row>
    <row r="436">
      <c r="A436" s="18" t="n"/>
      <c r="B436" s="19" t="n"/>
      <c r="C436" s="20" t="n"/>
      <c r="D436" s="20" t="n"/>
      <c r="E436" s="20" t="n"/>
      <c r="F436" s="18" t="n"/>
      <c r="G436" s="21">
        <f>IF(E436="","",IFERROR(VLOOKUP(E436,'Catálogo'!$A$5:$B$504,2,FALSE),0))</f>
        <v/>
      </c>
      <c r="H436" s="21" t="n"/>
      <c r="I436" s="21">
        <f>IF(E436="","",MAX(F436*G436-N(H436),0))</f>
        <v/>
      </c>
      <c r="J436" s="19" t="n"/>
      <c r="K436" s="20" t="n"/>
      <c r="L436" s="20" t="n"/>
      <c r="M436" s="20" t="n"/>
      <c r="N436" s="20">
        <f>IF(OR(E436="",M436="Entregue",M436="Cancelado",J436=""),"",IF(J436&lt;TODAY(),"ATRASADO",IF(J436=TODAY(),"ENTREGA HOJE","")))</f>
        <v/>
      </c>
    </row>
    <row r="437">
      <c r="A437" s="18" t="n"/>
      <c r="B437" s="19" t="n"/>
      <c r="C437" s="20" t="n"/>
      <c r="D437" s="20" t="n"/>
      <c r="E437" s="20" t="n"/>
      <c r="F437" s="18" t="n"/>
      <c r="G437" s="21">
        <f>IF(E437="","",IFERROR(VLOOKUP(E437,'Catálogo'!$A$5:$B$504,2,FALSE),0))</f>
        <v/>
      </c>
      <c r="H437" s="21" t="n"/>
      <c r="I437" s="21">
        <f>IF(E437="","",MAX(F437*G437-N(H437),0))</f>
        <v/>
      </c>
      <c r="J437" s="19" t="n"/>
      <c r="K437" s="20" t="n"/>
      <c r="L437" s="20" t="n"/>
      <c r="M437" s="20" t="n"/>
      <c r="N437" s="20">
        <f>IF(OR(E437="",M437="Entregue",M437="Cancelado",J437=""),"",IF(J437&lt;TODAY(),"ATRASADO",IF(J437=TODAY(),"ENTREGA HOJE","")))</f>
        <v/>
      </c>
    </row>
    <row r="438">
      <c r="A438" s="18" t="n"/>
      <c r="B438" s="19" t="n"/>
      <c r="C438" s="20" t="n"/>
      <c r="D438" s="20" t="n"/>
      <c r="E438" s="20" t="n"/>
      <c r="F438" s="18" t="n"/>
      <c r="G438" s="21">
        <f>IF(E438="","",IFERROR(VLOOKUP(E438,'Catálogo'!$A$5:$B$504,2,FALSE),0))</f>
        <v/>
      </c>
      <c r="H438" s="21" t="n"/>
      <c r="I438" s="21">
        <f>IF(E438="","",MAX(F438*G438-N(H438),0))</f>
        <v/>
      </c>
      <c r="J438" s="19" t="n"/>
      <c r="K438" s="20" t="n"/>
      <c r="L438" s="20" t="n"/>
      <c r="M438" s="20" t="n"/>
      <c r="N438" s="20">
        <f>IF(OR(E438="",M438="Entregue",M438="Cancelado",J438=""),"",IF(J438&lt;TODAY(),"ATRASADO",IF(J438=TODAY(),"ENTREGA HOJE","")))</f>
        <v/>
      </c>
    </row>
    <row r="439">
      <c r="A439" s="18" t="n"/>
      <c r="B439" s="19" t="n"/>
      <c r="C439" s="20" t="n"/>
      <c r="D439" s="20" t="n"/>
      <c r="E439" s="20" t="n"/>
      <c r="F439" s="18" t="n"/>
      <c r="G439" s="21">
        <f>IF(E439="","",IFERROR(VLOOKUP(E439,'Catálogo'!$A$5:$B$504,2,FALSE),0))</f>
        <v/>
      </c>
      <c r="H439" s="21" t="n"/>
      <c r="I439" s="21">
        <f>IF(E439="","",MAX(F439*G439-N(H439),0))</f>
        <v/>
      </c>
      <c r="J439" s="19" t="n"/>
      <c r="K439" s="20" t="n"/>
      <c r="L439" s="20" t="n"/>
      <c r="M439" s="20" t="n"/>
      <c r="N439" s="20">
        <f>IF(OR(E439="",M439="Entregue",M439="Cancelado",J439=""),"",IF(J439&lt;TODAY(),"ATRASADO",IF(J439=TODAY(),"ENTREGA HOJE","")))</f>
        <v/>
      </c>
    </row>
    <row r="440">
      <c r="A440" s="18" t="n"/>
      <c r="B440" s="19" t="n"/>
      <c r="C440" s="20" t="n"/>
      <c r="D440" s="20" t="n"/>
      <c r="E440" s="20" t="n"/>
      <c r="F440" s="18" t="n"/>
      <c r="G440" s="21">
        <f>IF(E440="","",IFERROR(VLOOKUP(E440,'Catálogo'!$A$5:$B$504,2,FALSE),0))</f>
        <v/>
      </c>
      <c r="H440" s="21" t="n"/>
      <c r="I440" s="21">
        <f>IF(E440="","",MAX(F440*G440-N(H440),0))</f>
        <v/>
      </c>
      <c r="J440" s="19" t="n"/>
      <c r="K440" s="20" t="n"/>
      <c r="L440" s="20" t="n"/>
      <c r="M440" s="20" t="n"/>
      <c r="N440" s="20">
        <f>IF(OR(E440="",M440="Entregue",M440="Cancelado",J440=""),"",IF(J440&lt;TODAY(),"ATRASADO",IF(J440=TODAY(),"ENTREGA HOJE","")))</f>
        <v/>
      </c>
    </row>
    <row r="441">
      <c r="A441" s="18" t="n"/>
      <c r="B441" s="19" t="n"/>
      <c r="C441" s="20" t="n"/>
      <c r="D441" s="20" t="n"/>
      <c r="E441" s="20" t="n"/>
      <c r="F441" s="18" t="n"/>
      <c r="G441" s="21">
        <f>IF(E441="","",IFERROR(VLOOKUP(E441,'Catálogo'!$A$5:$B$504,2,FALSE),0))</f>
        <v/>
      </c>
      <c r="H441" s="21" t="n"/>
      <c r="I441" s="21">
        <f>IF(E441="","",MAX(F441*G441-N(H441),0))</f>
        <v/>
      </c>
      <c r="J441" s="19" t="n"/>
      <c r="K441" s="20" t="n"/>
      <c r="L441" s="20" t="n"/>
      <c r="M441" s="20" t="n"/>
      <c r="N441" s="20">
        <f>IF(OR(E441="",M441="Entregue",M441="Cancelado",J441=""),"",IF(J441&lt;TODAY(),"ATRASADO",IF(J441=TODAY(),"ENTREGA HOJE","")))</f>
        <v/>
      </c>
    </row>
    <row r="442">
      <c r="A442" s="18" t="n"/>
      <c r="B442" s="19" t="n"/>
      <c r="C442" s="20" t="n"/>
      <c r="D442" s="20" t="n"/>
      <c r="E442" s="20" t="n"/>
      <c r="F442" s="18" t="n"/>
      <c r="G442" s="21">
        <f>IF(E442="","",IFERROR(VLOOKUP(E442,'Catálogo'!$A$5:$B$504,2,FALSE),0))</f>
        <v/>
      </c>
      <c r="H442" s="21" t="n"/>
      <c r="I442" s="21">
        <f>IF(E442="","",MAX(F442*G442-N(H442),0))</f>
        <v/>
      </c>
      <c r="J442" s="19" t="n"/>
      <c r="K442" s="20" t="n"/>
      <c r="L442" s="20" t="n"/>
      <c r="M442" s="20" t="n"/>
      <c r="N442" s="20">
        <f>IF(OR(E442="",M442="Entregue",M442="Cancelado",J442=""),"",IF(J442&lt;TODAY(),"ATRASADO",IF(J442=TODAY(),"ENTREGA HOJE","")))</f>
        <v/>
      </c>
    </row>
    <row r="443">
      <c r="A443" s="18" t="n"/>
      <c r="B443" s="19" t="n"/>
      <c r="C443" s="20" t="n"/>
      <c r="D443" s="20" t="n"/>
      <c r="E443" s="20" t="n"/>
      <c r="F443" s="18" t="n"/>
      <c r="G443" s="21">
        <f>IF(E443="","",IFERROR(VLOOKUP(E443,'Catálogo'!$A$5:$B$504,2,FALSE),0))</f>
        <v/>
      </c>
      <c r="H443" s="21" t="n"/>
      <c r="I443" s="21">
        <f>IF(E443="","",MAX(F443*G443-N(H443),0))</f>
        <v/>
      </c>
      <c r="J443" s="19" t="n"/>
      <c r="K443" s="20" t="n"/>
      <c r="L443" s="20" t="n"/>
      <c r="M443" s="20" t="n"/>
      <c r="N443" s="20">
        <f>IF(OR(E443="",M443="Entregue",M443="Cancelado",J443=""),"",IF(J443&lt;TODAY(),"ATRASADO",IF(J443=TODAY(),"ENTREGA HOJE","")))</f>
        <v/>
      </c>
    </row>
    <row r="444">
      <c r="A444" s="18" t="n"/>
      <c r="B444" s="19" t="n"/>
      <c r="C444" s="20" t="n"/>
      <c r="D444" s="20" t="n"/>
      <c r="E444" s="20" t="n"/>
      <c r="F444" s="18" t="n"/>
      <c r="G444" s="21">
        <f>IF(E444="","",IFERROR(VLOOKUP(E444,'Catálogo'!$A$5:$B$504,2,FALSE),0))</f>
        <v/>
      </c>
      <c r="H444" s="21" t="n"/>
      <c r="I444" s="21">
        <f>IF(E444="","",MAX(F444*G444-N(H444),0))</f>
        <v/>
      </c>
      <c r="J444" s="19" t="n"/>
      <c r="K444" s="20" t="n"/>
      <c r="L444" s="20" t="n"/>
      <c r="M444" s="20" t="n"/>
      <c r="N444" s="20">
        <f>IF(OR(E444="",M444="Entregue",M444="Cancelado",J444=""),"",IF(J444&lt;TODAY(),"ATRASADO",IF(J444=TODAY(),"ENTREGA HOJE","")))</f>
        <v/>
      </c>
    </row>
    <row r="445">
      <c r="A445" s="18" t="n"/>
      <c r="B445" s="19" t="n"/>
      <c r="C445" s="20" t="n"/>
      <c r="D445" s="20" t="n"/>
      <c r="E445" s="20" t="n"/>
      <c r="F445" s="18" t="n"/>
      <c r="G445" s="21">
        <f>IF(E445="","",IFERROR(VLOOKUP(E445,'Catálogo'!$A$5:$B$504,2,FALSE),0))</f>
        <v/>
      </c>
      <c r="H445" s="21" t="n"/>
      <c r="I445" s="21">
        <f>IF(E445="","",MAX(F445*G445-N(H445),0))</f>
        <v/>
      </c>
      <c r="J445" s="19" t="n"/>
      <c r="K445" s="20" t="n"/>
      <c r="L445" s="20" t="n"/>
      <c r="M445" s="20" t="n"/>
      <c r="N445" s="20">
        <f>IF(OR(E445="",M445="Entregue",M445="Cancelado",J445=""),"",IF(J445&lt;TODAY(),"ATRASADO",IF(J445=TODAY(),"ENTREGA HOJE","")))</f>
        <v/>
      </c>
    </row>
    <row r="446">
      <c r="A446" s="18" t="n"/>
      <c r="B446" s="19" t="n"/>
      <c r="C446" s="20" t="n"/>
      <c r="D446" s="20" t="n"/>
      <c r="E446" s="20" t="n"/>
      <c r="F446" s="18" t="n"/>
      <c r="G446" s="21">
        <f>IF(E446="","",IFERROR(VLOOKUP(E446,'Catálogo'!$A$5:$B$504,2,FALSE),0))</f>
        <v/>
      </c>
      <c r="H446" s="21" t="n"/>
      <c r="I446" s="21">
        <f>IF(E446="","",MAX(F446*G446-N(H446),0))</f>
        <v/>
      </c>
      <c r="J446" s="19" t="n"/>
      <c r="K446" s="20" t="n"/>
      <c r="L446" s="20" t="n"/>
      <c r="M446" s="20" t="n"/>
      <c r="N446" s="20">
        <f>IF(OR(E446="",M446="Entregue",M446="Cancelado",J446=""),"",IF(J446&lt;TODAY(),"ATRASADO",IF(J446=TODAY(),"ENTREGA HOJE","")))</f>
        <v/>
      </c>
    </row>
    <row r="447">
      <c r="A447" s="18" t="n"/>
      <c r="B447" s="19" t="n"/>
      <c r="C447" s="20" t="n"/>
      <c r="D447" s="20" t="n"/>
      <c r="E447" s="20" t="n"/>
      <c r="F447" s="18" t="n"/>
      <c r="G447" s="21">
        <f>IF(E447="","",IFERROR(VLOOKUP(E447,'Catálogo'!$A$5:$B$504,2,FALSE),0))</f>
        <v/>
      </c>
      <c r="H447" s="21" t="n"/>
      <c r="I447" s="21">
        <f>IF(E447="","",MAX(F447*G447-N(H447),0))</f>
        <v/>
      </c>
      <c r="J447" s="19" t="n"/>
      <c r="K447" s="20" t="n"/>
      <c r="L447" s="20" t="n"/>
      <c r="M447" s="20" t="n"/>
      <c r="N447" s="20">
        <f>IF(OR(E447="",M447="Entregue",M447="Cancelado",J447=""),"",IF(J447&lt;TODAY(),"ATRASADO",IF(J447=TODAY(),"ENTREGA HOJE","")))</f>
        <v/>
      </c>
    </row>
    <row r="448">
      <c r="A448" s="18" t="n"/>
      <c r="B448" s="19" t="n"/>
      <c r="C448" s="20" t="n"/>
      <c r="D448" s="20" t="n"/>
      <c r="E448" s="20" t="n"/>
      <c r="F448" s="18" t="n"/>
      <c r="G448" s="21">
        <f>IF(E448="","",IFERROR(VLOOKUP(E448,'Catálogo'!$A$5:$B$504,2,FALSE),0))</f>
        <v/>
      </c>
      <c r="H448" s="21" t="n"/>
      <c r="I448" s="21">
        <f>IF(E448="","",MAX(F448*G448-N(H448),0))</f>
        <v/>
      </c>
      <c r="J448" s="19" t="n"/>
      <c r="K448" s="20" t="n"/>
      <c r="L448" s="20" t="n"/>
      <c r="M448" s="20" t="n"/>
      <c r="N448" s="20">
        <f>IF(OR(E448="",M448="Entregue",M448="Cancelado",J448=""),"",IF(J448&lt;TODAY(),"ATRASADO",IF(J448=TODAY(),"ENTREGA HOJE","")))</f>
        <v/>
      </c>
    </row>
    <row r="449">
      <c r="A449" s="18" t="n"/>
      <c r="B449" s="19" t="n"/>
      <c r="C449" s="20" t="n"/>
      <c r="D449" s="20" t="n"/>
      <c r="E449" s="20" t="n"/>
      <c r="F449" s="18" t="n"/>
      <c r="G449" s="21">
        <f>IF(E449="","",IFERROR(VLOOKUP(E449,'Catálogo'!$A$5:$B$504,2,FALSE),0))</f>
        <v/>
      </c>
      <c r="H449" s="21" t="n"/>
      <c r="I449" s="21">
        <f>IF(E449="","",MAX(F449*G449-N(H449),0))</f>
        <v/>
      </c>
      <c r="J449" s="19" t="n"/>
      <c r="K449" s="20" t="n"/>
      <c r="L449" s="20" t="n"/>
      <c r="M449" s="20" t="n"/>
      <c r="N449" s="20">
        <f>IF(OR(E449="",M449="Entregue",M449="Cancelado",J449=""),"",IF(J449&lt;TODAY(),"ATRASADO",IF(J449=TODAY(),"ENTREGA HOJE","")))</f>
        <v/>
      </c>
    </row>
    <row r="450">
      <c r="A450" s="18" t="n"/>
      <c r="B450" s="19" t="n"/>
      <c r="C450" s="20" t="n"/>
      <c r="D450" s="20" t="n"/>
      <c r="E450" s="20" t="n"/>
      <c r="F450" s="18" t="n"/>
      <c r="G450" s="21">
        <f>IF(E450="","",IFERROR(VLOOKUP(E450,'Catálogo'!$A$5:$B$504,2,FALSE),0))</f>
        <v/>
      </c>
      <c r="H450" s="21" t="n"/>
      <c r="I450" s="21">
        <f>IF(E450="","",MAX(F450*G450-N(H450),0))</f>
        <v/>
      </c>
      <c r="J450" s="19" t="n"/>
      <c r="K450" s="20" t="n"/>
      <c r="L450" s="20" t="n"/>
      <c r="M450" s="20" t="n"/>
      <c r="N450" s="20">
        <f>IF(OR(E450="",M450="Entregue",M450="Cancelado",J450=""),"",IF(J450&lt;TODAY(),"ATRASADO",IF(J450=TODAY(),"ENTREGA HOJE","")))</f>
        <v/>
      </c>
    </row>
    <row r="451">
      <c r="A451" s="18" t="n"/>
      <c r="B451" s="19" t="n"/>
      <c r="C451" s="20" t="n"/>
      <c r="D451" s="20" t="n"/>
      <c r="E451" s="20" t="n"/>
      <c r="F451" s="18" t="n"/>
      <c r="G451" s="21">
        <f>IF(E451="","",IFERROR(VLOOKUP(E451,'Catálogo'!$A$5:$B$504,2,FALSE),0))</f>
        <v/>
      </c>
      <c r="H451" s="21" t="n"/>
      <c r="I451" s="21">
        <f>IF(E451="","",MAX(F451*G451-N(H451),0))</f>
        <v/>
      </c>
      <c r="J451" s="19" t="n"/>
      <c r="K451" s="20" t="n"/>
      <c r="L451" s="20" t="n"/>
      <c r="M451" s="20" t="n"/>
      <c r="N451" s="20">
        <f>IF(OR(E451="",M451="Entregue",M451="Cancelado",J451=""),"",IF(J451&lt;TODAY(),"ATRASADO",IF(J451=TODAY(),"ENTREGA HOJE","")))</f>
        <v/>
      </c>
    </row>
    <row r="452">
      <c r="A452" s="18" t="n"/>
      <c r="B452" s="19" t="n"/>
      <c r="C452" s="20" t="n"/>
      <c r="D452" s="20" t="n"/>
      <c r="E452" s="20" t="n"/>
      <c r="F452" s="18" t="n"/>
      <c r="G452" s="21">
        <f>IF(E452="","",IFERROR(VLOOKUP(E452,'Catálogo'!$A$5:$B$504,2,FALSE),0))</f>
        <v/>
      </c>
      <c r="H452" s="21" t="n"/>
      <c r="I452" s="21">
        <f>IF(E452="","",MAX(F452*G452-N(H452),0))</f>
        <v/>
      </c>
      <c r="J452" s="19" t="n"/>
      <c r="K452" s="20" t="n"/>
      <c r="L452" s="20" t="n"/>
      <c r="M452" s="20" t="n"/>
      <c r="N452" s="20">
        <f>IF(OR(E452="",M452="Entregue",M452="Cancelado",J452=""),"",IF(J452&lt;TODAY(),"ATRASADO",IF(J452=TODAY(),"ENTREGA HOJE","")))</f>
        <v/>
      </c>
    </row>
    <row r="453">
      <c r="A453" s="18" t="n"/>
      <c r="B453" s="19" t="n"/>
      <c r="C453" s="20" t="n"/>
      <c r="D453" s="20" t="n"/>
      <c r="E453" s="20" t="n"/>
      <c r="F453" s="18" t="n"/>
      <c r="G453" s="21">
        <f>IF(E453="","",IFERROR(VLOOKUP(E453,'Catálogo'!$A$5:$B$504,2,FALSE),0))</f>
        <v/>
      </c>
      <c r="H453" s="21" t="n"/>
      <c r="I453" s="21">
        <f>IF(E453="","",MAX(F453*G453-N(H453),0))</f>
        <v/>
      </c>
      <c r="J453" s="19" t="n"/>
      <c r="K453" s="20" t="n"/>
      <c r="L453" s="20" t="n"/>
      <c r="M453" s="20" t="n"/>
      <c r="N453" s="20">
        <f>IF(OR(E453="",M453="Entregue",M453="Cancelado",J453=""),"",IF(J453&lt;TODAY(),"ATRASADO",IF(J453=TODAY(),"ENTREGA HOJE","")))</f>
        <v/>
      </c>
    </row>
    <row r="454">
      <c r="A454" s="18" t="n"/>
      <c r="B454" s="19" t="n"/>
      <c r="C454" s="20" t="n"/>
      <c r="D454" s="20" t="n"/>
      <c r="E454" s="20" t="n"/>
      <c r="F454" s="18" t="n"/>
      <c r="G454" s="21">
        <f>IF(E454="","",IFERROR(VLOOKUP(E454,'Catálogo'!$A$5:$B$504,2,FALSE),0))</f>
        <v/>
      </c>
      <c r="H454" s="21" t="n"/>
      <c r="I454" s="21">
        <f>IF(E454="","",MAX(F454*G454-N(H454),0))</f>
        <v/>
      </c>
      <c r="J454" s="19" t="n"/>
      <c r="K454" s="20" t="n"/>
      <c r="L454" s="20" t="n"/>
      <c r="M454" s="20" t="n"/>
      <c r="N454" s="20">
        <f>IF(OR(E454="",M454="Entregue",M454="Cancelado",J454=""),"",IF(J454&lt;TODAY(),"ATRASADO",IF(J454=TODAY(),"ENTREGA HOJE","")))</f>
        <v/>
      </c>
    </row>
    <row r="455">
      <c r="A455" s="18" t="n"/>
      <c r="B455" s="19" t="n"/>
      <c r="C455" s="20" t="n"/>
      <c r="D455" s="20" t="n"/>
      <c r="E455" s="20" t="n"/>
      <c r="F455" s="18" t="n"/>
      <c r="G455" s="21">
        <f>IF(E455="","",IFERROR(VLOOKUP(E455,'Catálogo'!$A$5:$B$504,2,FALSE),0))</f>
        <v/>
      </c>
      <c r="H455" s="21" t="n"/>
      <c r="I455" s="21">
        <f>IF(E455="","",MAX(F455*G455-N(H455),0))</f>
        <v/>
      </c>
      <c r="J455" s="19" t="n"/>
      <c r="K455" s="20" t="n"/>
      <c r="L455" s="20" t="n"/>
      <c r="M455" s="20" t="n"/>
      <c r="N455" s="20">
        <f>IF(OR(E455="",M455="Entregue",M455="Cancelado",J455=""),"",IF(J455&lt;TODAY(),"ATRASADO",IF(J455=TODAY(),"ENTREGA HOJE","")))</f>
        <v/>
      </c>
    </row>
    <row r="456">
      <c r="A456" s="18" t="n"/>
      <c r="B456" s="19" t="n"/>
      <c r="C456" s="20" t="n"/>
      <c r="D456" s="20" t="n"/>
      <c r="E456" s="20" t="n"/>
      <c r="F456" s="18" t="n"/>
      <c r="G456" s="21">
        <f>IF(E456="","",IFERROR(VLOOKUP(E456,'Catálogo'!$A$5:$B$504,2,FALSE),0))</f>
        <v/>
      </c>
      <c r="H456" s="21" t="n"/>
      <c r="I456" s="21">
        <f>IF(E456="","",MAX(F456*G456-N(H456),0))</f>
        <v/>
      </c>
      <c r="J456" s="19" t="n"/>
      <c r="K456" s="20" t="n"/>
      <c r="L456" s="20" t="n"/>
      <c r="M456" s="20" t="n"/>
      <c r="N456" s="20">
        <f>IF(OR(E456="",M456="Entregue",M456="Cancelado",J456=""),"",IF(J456&lt;TODAY(),"ATRASADO",IF(J456=TODAY(),"ENTREGA HOJE","")))</f>
        <v/>
      </c>
    </row>
    <row r="457">
      <c r="A457" s="18" t="n"/>
      <c r="B457" s="19" t="n"/>
      <c r="C457" s="20" t="n"/>
      <c r="D457" s="20" t="n"/>
      <c r="E457" s="20" t="n"/>
      <c r="F457" s="18" t="n"/>
      <c r="G457" s="21">
        <f>IF(E457="","",IFERROR(VLOOKUP(E457,'Catálogo'!$A$5:$B$504,2,FALSE),0))</f>
        <v/>
      </c>
      <c r="H457" s="21" t="n"/>
      <c r="I457" s="21">
        <f>IF(E457="","",MAX(F457*G457-N(H457),0))</f>
        <v/>
      </c>
      <c r="J457" s="19" t="n"/>
      <c r="K457" s="20" t="n"/>
      <c r="L457" s="20" t="n"/>
      <c r="M457" s="20" t="n"/>
      <c r="N457" s="20">
        <f>IF(OR(E457="",M457="Entregue",M457="Cancelado",J457=""),"",IF(J457&lt;TODAY(),"ATRASADO",IF(J457=TODAY(),"ENTREGA HOJE","")))</f>
        <v/>
      </c>
    </row>
    <row r="458">
      <c r="A458" s="18" t="n"/>
      <c r="B458" s="19" t="n"/>
      <c r="C458" s="20" t="n"/>
      <c r="D458" s="20" t="n"/>
      <c r="E458" s="20" t="n"/>
      <c r="F458" s="18" t="n"/>
      <c r="G458" s="21">
        <f>IF(E458="","",IFERROR(VLOOKUP(E458,'Catálogo'!$A$5:$B$504,2,FALSE),0))</f>
        <v/>
      </c>
      <c r="H458" s="21" t="n"/>
      <c r="I458" s="21">
        <f>IF(E458="","",MAX(F458*G458-N(H458),0))</f>
        <v/>
      </c>
      <c r="J458" s="19" t="n"/>
      <c r="K458" s="20" t="n"/>
      <c r="L458" s="20" t="n"/>
      <c r="M458" s="20" t="n"/>
      <c r="N458" s="20">
        <f>IF(OR(E458="",M458="Entregue",M458="Cancelado",J458=""),"",IF(J458&lt;TODAY(),"ATRASADO",IF(J458=TODAY(),"ENTREGA HOJE","")))</f>
        <v/>
      </c>
    </row>
    <row r="459">
      <c r="A459" s="18" t="n"/>
      <c r="B459" s="19" t="n"/>
      <c r="C459" s="20" t="n"/>
      <c r="D459" s="20" t="n"/>
      <c r="E459" s="20" t="n"/>
      <c r="F459" s="18" t="n"/>
      <c r="G459" s="21">
        <f>IF(E459="","",IFERROR(VLOOKUP(E459,'Catálogo'!$A$5:$B$504,2,FALSE),0))</f>
        <v/>
      </c>
      <c r="H459" s="21" t="n"/>
      <c r="I459" s="21">
        <f>IF(E459="","",MAX(F459*G459-N(H459),0))</f>
        <v/>
      </c>
      <c r="J459" s="19" t="n"/>
      <c r="K459" s="20" t="n"/>
      <c r="L459" s="20" t="n"/>
      <c r="M459" s="20" t="n"/>
      <c r="N459" s="20">
        <f>IF(OR(E459="",M459="Entregue",M459="Cancelado",J459=""),"",IF(J459&lt;TODAY(),"ATRASADO",IF(J459=TODAY(),"ENTREGA HOJE","")))</f>
        <v/>
      </c>
    </row>
    <row r="460">
      <c r="A460" s="18" t="n"/>
      <c r="B460" s="19" t="n"/>
      <c r="C460" s="20" t="n"/>
      <c r="D460" s="20" t="n"/>
      <c r="E460" s="20" t="n"/>
      <c r="F460" s="18" t="n"/>
      <c r="G460" s="21">
        <f>IF(E460="","",IFERROR(VLOOKUP(E460,'Catálogo'!$A$5:$B$504,2,FALSE),0))</f>
        <v/>
      </c>
      <c r="H460" s="21" t="n"/>
      <c r="I460" s="21">
        <f>IF(E460="","",MAX(F460*G460-N(H460),0))</f>
        <v/>
      </c>
      <c r="J460" s="19" t="n"/>
      <c r="K460" s="20" t="n"/>
      <c r="L460" s="20" t="n"/>
      <c r="M460" s="20" t="n"/>
      <c r="N460" s="20">
        <f>IF(OR(E460="",M460="Entregue",M460="Cancelado",J460=""),"",IF(J460&lt;TODAY(),"ATRASADO",IF(J460=TODAY(),"ENTREGA HOJE","")))</f>
        <v/>
      </c>
    </row>
    <row r="461">
      <c r="A461" s="18" t="n"/>
      <c r="B461" s="19" t="n"/>
      <c r="C461" s="20" t="n"/>
      <c r="D461" s="20" t="n"/>
      <c r="E461" s="20" t="n"/>
      <c r="F461" s="18" t="n"/>
      <c r="G461" s="21">
        <f>IF(E461="","",IFERROR(VLOOKUP(E461,'Catálogo'!$A$5:$B$504,2,FALSE),0))</f>
        <v/>
      </c>
      <c r="H461" s="21" t="n"/>
      <c r="I461" s="21">
        <f>IF(E461="","",MAX(F461*G461-N(H461),0))</f>
        <v/>
      </c>
      <c r="J461" s="19" t="n"/>
      <c r="K461" s="20" t="n"/>
      <c r="L461" s="20" t="n"/>
      <c r="M461" s="20" t="n"/>
      <c r="N461" s="20">
        <f>IF(OR(E461="",M461="Entregue",M461="Cancelado",J461=""),"",IF(J461&lt;TODAY(),"ATRASADO",IF(J461=TODAY(),"ENTREGA HOJE","")))</f>
        <v/>
      </c>
    </row>
    <row r="462">
      <c r="A462" s="18" t="n"/>
      <c r="B462" s="19" t="n"/>
      <c r="C462" s="20" t="n"/>
      <c r="D462" s="20" t="n"/>
      <c r="E462" s="20" t="n"/>
      <c r="F462" s="18" t="n"/>
      <c r="G462" s="21">
        <f>IF(E462="","",IFERROR(VLOOKUP(E462,'Catálogo'!$A$5:$B$504,2,FALSE),0))</f>
        <v/>
      </c>
      <c r="H462" s="21" t="n"/>
      <c r="I462" s="21">
        <f>IF(E462="","",MAX(F462*G462-N(H462),0))</f>
        <v/>
      </c>
      <c r="J462" s="19" t="n"/>
      <c r="K462" s="20" t="n"/>
      <c r="L462" s="20" t="n"/>
      <c r="M462" s="20" t="n"/>
      <c r="N462" s="20">
        <f>IF(OR(E462="",M462="Entregue",M462="Cancelado",J462=""),"",IF(J462&lt;TODAY(),"ATRASADO",IF(J462=TODAY(),"ENTREGA HOJE","")))</f>
        <v/>
      </c>
    </row>
    <row r="463">
      <c r="A463" s="18" t="n"/>
      <c r="B463" s="19" t="n"/>
      <c r="C463" s="20" t="n"/>
      <c r="D463" s="20" t="n"/>
      <c r="E463" s="20" t="n"/>
      <c r="F463" s="18" t="n"/>
      <c r="G463" s="21">
        <f>IF(E463="","",IFERROR(VLOOKUP(E463,'Catálogo'!$A$5:$B$504,2,FALSE),0))</f>
        <v/>
      </c>
      <c r="H463" s="21" t="n"/>
      <c r="I463" s="21">
        <f>IF(E463="","",MAX(F463*G463-N(H463),0))</f>
        <v/>
      </c>
      <c r="J463" s="19" t="n"/>
      <c r="K463" s="20" t="n"/>
      <c r="L463" s="20" t="n"/>
      <c r="M463" s="20" t="n"/>
      <c r="N463" s="20">
        <f>IF(OR(E463="",M463="Entregue",M463="Cancelado",J463=""),"",IF(J463&lt;TODAY(),"ATRASADO",IF(J463=TODAY(),"ENTREGA HOJE","")))</f>
        <v/>
      </c>
    </row>
    <row r="464">
      <c r="A464" s="18" t="n"/>
      <c r="B464" s="19" t="n"/>
      <c r="C464" s="20" t="n"/>
      <c r="D464" s="20" t="n"/>
      <c r="E464" s="20" t="n"/>
      <c r="F464" s="18" t="n"/>
      <c r="G464" s="21">
        <f>IF(E464="","",IFERROR(VLOOKUP(E464,'Catálogo'!$A$5:$B$504,2,FALSE),0))</f>
        <v/>
      </c>
      <c r="H464" s="21" t="n"/>
      <c r="I464" s="21">
        <f>IF(E464="","",MAX(F464*G464-N(H464),0))</f>
        <v/>
      </c>
      <c r="J464" s="19" t="n"/>
      <c r="K464" s="20" t="n"/>
      <c r="L464" s="20" t="n"/>
      <c r="M464" s="20" t="n"/>
      <c r="N464" s="20">
        <f>IF(OR(E464="",M464="Entregue",M464="Cancelado",J464=""),"",IF(J464&lt;TODAY(),"ATRASADO",IF(J464=TODAY(),"ENTREGA HOJE","")))</f>
        <v/>
      </c>
    </row>
    <row r="465">
      <c r="A465" s="18" t="n"/>
      <c r="B465" s="19" t="n"/>
      <c r="C465" s="20" t="n"/>
      <c r="D465" s="20" t="n"/>
      <c r="E465" s="20" t="n"/>
      <c r="F465" s="18" t="n"/>
      <c r="G465" s="21">
        <f>IF(E465="","",IFERROR(VLOOKUP(E465,'Catálogo'!$A$5:$B$504,2,FALSE),0))</f>
        <v/>
      </c>
      <c r="H465" s="21" t="n"/>
      <c r="I465" s="21">
        <f>IF(E465="","",MAX(F465*G465-N(H465),0))</f>
        <v/>
      </c>
      <c r="J465" s="19" t="n"/>
      <c r="K465" s="20" t="n"/>
      <c r="L465" s="20" t="n"/>
      <c r="M465" s="20" t="n"/>
      <c r="N465" s="20">
        <f>IF(OR(E465="",M465="Entregue",M465="Cancelado",J465=""),"",IF(J465&lt;TODAY(),"ATRASADO",IF(J465=TODAY(),"ENTREGA HOJE","")))</f>
        <v/>
      </c>
    </row>
    <row r="466">
      <c r="A466" s="18" t="n"/>
      <c r="B466" s="19" t="n"/>
      <c r="C466" s="20" t="n"/>
      <c r="D466" s="20" t="n"/>
      <c r="E466" s="20" t="n"/>
      <c r="F466" s="18" t="n"/>
      <c r="G466" s="21">
        <f>IF(E466="","",IFERROR(VLOOKUP(E466,'Catálogo'!$A$5:$B$504,2,FALSE),0))</f>
        <v/>
      </c>
      <c r="H466" s="21" t="n"/>
      <c r="I466" s="21">
        <f>IF(E466="","",MAX(F466*G466-N(H466),0))</f>
        <v/>
      </c>
      <c r="J466" s="19" t="n"/>
      <c r="K466" s="20" t="n"/>
      <c r="L466" s="20" t="n"/>
      <c r="M466" s="20" t="n"/>
      <c r="N466" s="20">
        <f>IF(OR(E466="",M466="Entregue",M466="Cancelado",J466=""),"",IF(J466&lt;TODAY(),"ATRASADO",IF(J466=TODAY(),"ENTREGA HOJE","")))</f>
        <v/>
      </c>
    </row>
    <row r="467">
      <c r="A467" s="18" t="n"/>
      <c r="B467" s="19" t="n"/>
      <c r="C467" s="20" t="n"/>
      <c r="D467" s="20" t="n"/>
      <c r="E467" s="20" t="n"/>
      <c r="F467" s="18" t="n"/>
      <c r="G467" s="21">
        <f>IF(E467="","",IFERROR(VLOOKUP(E467,'Catálogo'!$A$5:$B$504,2,FALSE),0))</f>
        <v/>
      </c>
      <c r="H467" s="21" t="n"/>
      <c r="I467" s="21">
        <f>IF(E467="","",MAX(F467*G467-N(H467),0))</f>
        <v/>
      </c>
      <c r="J467" s="19" t="n"/>
      <c r="K467" s="20" t="n"/>
      <c r="L467" s="20" t="n"/>
      <c r="M467" s="20" t="n"/>
      <c r="N467" s="20">
        <f>IF(OR(E467="",M467="Entregue",M467="Cancelado",J467=""),"",IF(J467&lt;TODAY(),"ATRASADO",IF(J467=TODAY(),"ENTREGA HOJE","")))</f>
        <v/>
      </c>
    </row>
    <row r="468">
      <c r="A468" s="18" t="n"/>
      <c r="B468" s="19" t="n"/>
      <c r="C468" s="20" t="n"/>
      <c r="D468" s="20" t="n"/>
      <c r="E468" s="20" t="n"/>
      <c r="F468" s="18" t="n"/>
      <c r="G468" s="21">
        <f>IF(E468="","",IFERROR(VLOOKUP(E468,'Catálogo'!$A$5:$B$504,2,FALSE),0))</f>
        <v/>
      </c>
      <c r="H468" s="21" t="n"/>
      <c r="I468" s="21">
        <f>IF(E468="","",MAX(F468*G468-N(H468),0))</f>
        <v/>
      </c>
      <c r="J468" s="19" t="n"/>
      <c r="K468" s="20" t="n"/>
      <c r="L468" s="20" t="n"/>
      <c r="M468" s="20" t="n"/>
      <c r="N468" s="20">
        <f>IF(OR(E468="",M468="Entregue",M468="Cancelado",J468=""),"",IF(J468&lt;TODAY(),"ATRASADO",IF(J468=TODAY(),"ENTREGA HOJE","")))</f>
        <v/>
      </c>
    </row>
    <row r="469">
      <c r="A469" s="18" t="n"/>
      <c r="B469" s="19" t="n"/>
      <c r="C469" s="20" t="n"/>
      <c r="D469" s="20" t="n"/>
      <c r="E469" s="20" t="n"/>
      <c r="F469" s="18" t="n"/>
      <c r="G469" s="21">
        <f>IF(E469="","",IFERROR(VLOOKUP(E469,'Catálogo'!$A$5:$B$504,2,FALSE),0))</f>
        <v/>
      </c>
      <c r="H469" s="21" t="n"/>
      <c r="I469" s="21">
        <f>IF(E469="","",MAX(F469*G469-N(H469),0))</f>
        <v/>
      </c>
      <c r="J469" s="19" t="n"/>
      <c r="K469" s="20" t="n"/>
      <c r="L469" s="20" t="n"/>
      <c r="M469" s="20" t="n"/>
      <c r="N469" s="20">
        <f>IF(OR(E469="",M469="Entregue",M469="Cancelado",J469=""),"",IF(J469&lt;TODAY(),"ATRASADO",IF(J469=TODAY(),"ENTREGA HOJE","")))</f>
        <v/>
      </c>
    </row>
    <row r="470">
      <c r="A470" s="18" t="n"/>
      <c r="B470" s="19" t="n"/>
      <c r="C470" s="20" t="n"/>
      <c r="D470" s="20" t="n"/>
      <c r="E470" s="20" t="n"/>
      <c r="F470" s="18" t="n"/>
      <c r="G470" s="21">
        <f>IF(E470="","",IFERROR(VLOOKUP(E470,'Catálogo'!$A$5:$B$504,2,FALSE),0))</f>
        <v/>
      </c>
      <c r="H470" s="21" t="n"/>
      <c r="I470" s="21">
        <f>IF(E470="","",MAX(F470*G470-N(H470),0))</f>
        <v/>
      </c>
      <c r="J470" s="19" t="n"/>
      <c r="K470" s="20" t="n"/>
      <c r="L470" s="20" t="n"/>
      <c r="M470" s="20" t="n"/>
      <c r="N470" s="20">
        <f>IF(OR(E470="",M470="Entregue",M470="Cancelado",J470=""),"",IF(J470&lt;TODAY(),"ATRASADO",IF(J470=TODAY(),"ENTREGA HOJE","")))</f>
        <v/>
      </c>
    </row>
    <row r="471">
      <c r="A471" s="18" t="n"/>
      <c r="B471" s="19" t="n"/>
      <c r="C471" s="20" t="n"/>
      <c r="D471" s="20" t="n"/>
      <c r="E471" s="20" t="n"/>
      <c r="F471" s="18" t="n"/>
      <c r="G471" s="21">
        <f>IF(E471="","",IFERROR(VLOOKUP(E471,'Catálogo'!$A$5:$B$504,2,FALSE),0))</f>
        <v/>
      </c>
      <c r="H471" s="21" t="n"/>
      <c r="I471" s="21">
        <f>IF(E471="","",MAX(F471*G471-N(H471),0))</f>
        <v/>
      </c>
      <c r="J471" s="19" t="n"/>
      <c r="K471" s="20" t="n"/>
      <c r="L471" s="20" t="n"/>
      <c r="M471" s="20" t="n"/>
      <c r="N471" s="20">
        <f>IF(OR(E471="",M471="Entregue",M471="Cancelado",J471=""),"",IF(J471&lt;TODAY(),"ATRASADO",IF(J471=TODAY(),"ENTREGA HOJE","")))</f>
        <v/>
      </c>
    </row>
    <row r="472">
      <c r="A472" s="18" t="n"/>
      <c r="B472" s="19" t="n"/>
      <c r="C472" s="20" t="n"/>
      <c r="D472" s="20" t="n"/>
      <c r="E472" s="20" t="n"/>
      <c r="F472" s="18" t="n"/>
      <c r="G472" s="21">
        <f>IF(E472="","",IFERROR(VLOOKUP(E472,'Catálogo'!$A$5:$B$504,2,FALSE),0))</f>
        <v/>
      </c>
      <c r="H472" s="21" t="n"/>
      <c r="I472" s="21">
        <f>IF(E472="","",MAX(F472*G472-N(H472),0))</f>
        <v/>
      </c>
      <c r="J472" s="19" t="n"/>
      <c r="K472" s="20" t="n"/>
      <c r="L472" s="20" t="n"/>
      <c r="M472" s="20" t="n"/>
      <c r="N472" s="20">
        <f>IF(OR(E472="",M472="Entregue",M472="Cancelado",J472=""),"",IF(J472&lt;TODAY(),"ATRASADO",IF(J472=TODAY(),"ENTREGA HOJE","")))</f>
        <v/>
      </c>
    </row>
    <row r="473">
      <c r="A473" s="18" t="n"/>
      <c r="B473" s="19" t="n"/>
      <c r="C473" s="20" t="n"/>
      <c r="D473" s="20" t="n"/>
      <c r="E473" s="20" t="n"/>
      <c r="F473" s="18" t="n"/>
      <c r="G473" s="21">
        <f>IF(E473="","",IFERROR(VLOOKUP(E473,'Catálogo'!$A$5:$B$504,2,FALSE),0))</f>
        <v/>
      </c>
      <c r="H473" s="21" t="n"/>
      <c r="I473" s="21">
        <f>IF(E473="","",MAX(F473*G473-N(H473),0))</f>
        <v/>
      </c>
      <c r="J473" s="19" t="n"/>
      <c r="K473" s="20" t="n"/>
      <c r="L473" s="20" t="n"/>
      <c r="M473" s="20" t="n"/>
      <c r="N473" s="20">
        <f>IF(OR(E473="",M473="Entregue",M473="Cancelado",J473=""),"",IF(J473&lt;TODAY(),"ATRASADO",IF(J473=TODAY(),"ENTREGA HOJE","")))</f>
        <v/>
      </c>
    </row>
    <row r="474">
      <c r="A474" s="18" t="n"/>
      <c r="B474" s="19" t="n"/>
      <c r="C474" s="20" t="n"/>
      <c r="D474" s="20" t="n"/>
      <c r="E474" s="20" t="n"/>
      <c r="F474" s="18" t="n"/>
      <c r="G474" s="21">
        <f>IF(E474="","",IFERROR(VLOOKUP(E474,'Catálogo'!$A$5:$B$504,2,FALSE),0))</f>
        <v/>
      </c>
      <c r="H474" s="21" t="n"/>
      <c r="I474" s="21">
        <f>IF(E474="","",MAX(F474*G474-N(H474),0))</f>
        <v/>
      </c>
      <c r="J474" s="19" t="n"/>
      <c r="K474" s="20" t="n"/>
      <c r="L474" s="20" t="n"/>
      <c r="M474" s="20" t="n"/>
      <c r="N474" s="20">
        <f>IF(OR(E474="",M474="Entregue",M474="Cancelado",J474=""),"",IF(J474&lt;TODAY(),"ATRASADO",IF(J474=TODAY(),"ENTREGA HOJE","")))</f>
        <v/>
      </c>
    </row>
    <row r="475">
      <c r="A475" s="18" t="n"/>
      <c r="B475" s="19" t="n"/>
      <c r="C475" s="20" t="n"/>
      <c r="D475" s="20" t="n"/>
      <c r="E475" s="20" t="n"/>
      <c r="F475" s="18" t="n"/>
      <c r="G475" s="21">
        <f>IF(E475="","",IFERROR(VLOOKUP(E475,'Catálogo'!$A$5:$B$504,2,FALSE),0))</f>
        <v/>
      </c>
      <c r="H475" s="21" t="n"/>
      <c r="I475" s="21">
        <f>IF(E475="","",MAX(F475*G475-N(H475),0))</f>
        <v/>
      </c>
      <c r="J475" s="19" t="n"/>
      <c r="K475" s="20" t="n"/>
      <c r="L475" s="20" t="n"/>
      <c r="M475" s="20" t="n"/>
      <c r="N475" s="20">
        <f>IF(OR(E475="",M475="Entregue",M475="Cancelado",J475=""),"",IF(J475&lt;TODAY(),"ATRASADO",IF(J475=TODAY(),"ENTREGA HOJE","")))</f>
        <v/>
      </c>
    </row>
    <row r="476">
      <c r="A476" s="18" t="n"/>
      <c r="B476" s="19" t="n"/>
      <c r="C476" s="20" t="n"/>
      <c r="D476" s="20" t="n"/>
      <c r="E476" s="20" t="n"/>
      <c r="F476" s="18" t="n"/>
      <c r="G476" s="21">
        <f>IF(E476="","",IFERROR(VLOOKUP(E476,'Catálogo'!$A$5:$B$504,2,FALSE),0))</f>
        <v/>
      </c>
      <c r="H476" s="21" t="n"/>
      <c r="I476" s="21">
        <f>IF(E476="","",MAX(F476*G476-N(H476),0))</f>
        <v/>
      </c>
      <c r="J476" s="19" t="n"/>
      <c r="K476" s="20" t="n"/>
      <c r="L476" s="20" t="n"/>
      <c r="M476" s="20" t="n"/>
      <c r="N476" s="20">
        <f>IF(OR(E476="",M476="Entregue",M476="Cancelado",J476=""),"",IF(J476&lt;TODAY(),"ATRASADO",IF(J476=TODAY(),"ENTREGA HOJE","")))</f>
        <v/>
      </c>
    </row>
    <row r="477">
      <c r="A477" s="18" t="n"/>
      <c r="B477" s="19" t="n"/>
      <c r="C477" s="20" t="n"/>
      <c r="D477" s="20" t="n"/>
      <c r="E477" s="20" t="n"/>
      <c r="F477" s="18" t="n"/>
      <c r="G477" s="21">
        <f>IF(E477="","",IFERROR(VLOOKUP(E477,'Catálogo'!$A$5:$B$504,2,FALSE),0))</f>
        <v/>
      </c>
      <c r="H477" s="21" t="n"/>
      <c r="I477" s="21">
        <f>IF(E477="","",MAX(F477*G477-N(H477),0))</f>
        <v/>
      </c>
      <c r="J477" s="19" t="n"/>
      <c r="K477" s="20" t="n"/>
      <c r="L477" s="20" t="n"/>
      <c r="M477" s="20" t="n"/>
      <c r="N477" s="20">
        <f>IF(OR(E477="",M477="Entregue",M477="Cancelado",J477=""),"",IF(J477&lt;TODAY(),"ATRASADO",IF(J477=TODAY(),"ENTREGA HOJE","")))</f>
        <v/>
      </c>
    </row>
    <row r="478">
      <c r="A478" s="18" t="n"/>
      <c r="B478" s="19" t="n"/>
      <c r="C478" s="20" t="n"/>
      <c r="D478" s="20" t="n"/>
      <c r="E478" s="20" t="n"/>
      <c r="F478" s="18" t="n"/>
      <c r="G478" s="21">
        <f>IF(E478="","",IFERROR(VLOOKUP(E478,'Catálogo'!$A$5:$B$504,2,FALSE),0))</f>
        <v/>
      </c>
      <c r="H478" s="21" t="n"/>
      <c r="I478" s="21">
        <f>IF(E478="","",MAX(F478*G478-N(H478),0))</f>
        <v/>
      </c>
      <c r="J478" s="19" t="n"/>
      <c r="K478" s="20" t="n"/>
      <c r="L478" s="20" t="n"/>
      <c r="M478" s="20" t="n"/>
      <c r="N478" s="20">
        <f>IF(OR(E478="",M478="Entregue",M478="Cancelado",J478=""),"",IF(J478&lt;TODAY(),"ATRASADO",IF(J478=TODAY(),"ENTREGA HOJE","")))</f>
        <v/>
      </c>
    </row>
    <row r="479">
      <c r="A479" s="18" t="n"/>
      <c r="B479" s="19" t="n"/>
      <c r="C479" s="20" t="n"/>
      <c r="D479" s="20" t="n"/>
      <c r="E479" s="20" t="n"/>
      <c r="F479" s="18" t="n"/>
      <c r="G479" s="21">
        <f>IF(E479="","",IFERROR(VLOOKUP(E479,'Catálogo'!$A$5:$B$504,2,FALSE),0))</f>
        <v/>
      </c>
      <c r="H479" s="21" t="n"/>
      <c r="I479" s="21">
        <f>IF(E479="","",MAX(F479*G479-N(H479),0))</f>
        <v/>
      </c>
      <c r="J479" s="19" t="n"/>
      <c r="K479" s="20" t="n"/>
      <c r="L479" s="20" t="n"/>
      <c r="M479" s="20" t="n"/>
      <c r="N479" s="20">
        <f>IF(OR(E479="",M479="Entregue",M479="Cancelado",J479=""),"",IF(J479&lt;TODAY(),"ATRASADO",IF(J479=TODAY(),"ENTREGA HOJE","")))</f>
        <v/>
      </c>
    </row>
    <row r="480">
      <c r="A480" s="18" t="n"/>
      <c r="B480" s="19" t="n"/>
      <c r="C480" s="20" t="n"/>
      <c r="D480" s="20" t="n"/>
      <c r="E480" s="20" t="n"/>
      <c r="F480" s="18" t="n"/>
      <c r="G480" s="21">
        <f>IF(E480="","",IFERROR(VLOOKUP(E480,'Catálogo'!$A$5:$B$504,2,FALSE),0))</f>
        <v/>
      </c>
      <c r="H480" s="21" t="n"/>
      <c r="I480" s="21">
        <f>IF(E480="","",MAX(F480*G480-N(H480),0))</f>
        <v/>
      </c>
      <c r="J480" s="19" t="n"/>
      <c r="K480" s="20" t="n"/>
      <c r="L480" s="20" t="n"/>
      <c r="M480" s="20" t="n"/>
      <c r="N480" s="20">
        <f>IF(OR(E480="",M480="Entregue",M480="Cancelado",J480=""),"",IF(J480&lt;TODAY(),"ATRASADO",IF(J480=TODAY(),"ENTREGA HOJE","")))</f>
        <v/>
      </c>
    </row>
    <row r="481">
      <c r="A481" s="18" t="n"/>
      <c r="B481" s="19" t="n"/>
      <c r="C481" s="20" t="n"/>
      <c r="D481" s="20" t="n"/>
      <c r="E481" s="20" t="n"/>
      <c r="F481" s="18" t="n"/>
      <c r="G481" s="21">
        <f>IF(E481="","",IFERROR(VLOOKUP(E481,'Catálogo'!$A$5:$B$504,2,FALSE),0))</f>
        <v/>
      </c>
      <c r="H481" s="21" t="n"/>
      <c r="I481" s="21">
        <f>IF(E481="","",MAX(F481*G481-N(H481),0))</f>
        <v/>
      </c>
      <c r="J481" s="19" t="n"/>
      <c r="K481" s="20" t="n"/>
      <c r="L481" s="20" t="n"/>
      <c r="M481" s="20" t="n"/>
      <c r="N481" s="20">
        <f>IF(OR(E481="",M481="Entregue",M481="Cancelado",J481=""),"",IF(J481&lt;TODAY(),"ATRASADO",IF(J481=TODAY(),"ENTREGA HOJE","")))</f>
        <v/>
      </c>
    </row>
    <row r="482">
      <c r="A482" s="18" t="n"/>
      <c r="B482" s="19" t="n"/>
      <c r="C482" s="20" t="n"/>
      <c r="D482" s="20" t="n"/>
      <c r="E482" s="20" t="n"/>
      <c r="F482" s="18" t="n"/>
      <c r="G482" s="21">
        <f>IF(E482="","",IFERROR(VLOOKUP(E482,'Catálogo'!$A$5:$B$504,2,FALSE),0))</f>
        <v/>
      </c>
      <c r="H482" s="21" t="n"/>
      <c r="I482" s="21">
        <f>IF(E482="","",MAX(F482*G482-N(H482),0))</f>
        <v/>
      </c>
      <c r="J482" s="19" t="n"/>
      <c r="K482" s="20" t="n"/>
      <c r="L482" s="20" t="n"/>
      <c r="M482" s="20" t="n"/>
      <c r="N482" s="20">
        <f>IF(OR(E482="",M482="Entregue",M482="Cancelado",J482=""),"",IF(J482&lt;TODAY(),"ATRASADO",IF(J482=TODAY(),"ENTREGA HOJE","")))</f>
        <v/>
      </c>
    </row>
    <row r="483">
      <c r="A483" s="18" t="n"/>
      <c r="B483" s="19" t="n"/>
      <c r="C483" s="20" t="n"/>
      <c r="D483" s="20" t="n"/>
      <c r="E483" s="20" t="n"/>
      <c r="F483" s="18" t="n"/>
      <c r="G483" s="21">
        <f>IF(E483="","",IFERROR(VLOOKUP(E483,'Catálogo'!$A$5:$B$504,2,FALSE),0))</f>
        <v/>
      </c>
      <c r="H483" s="21" t="n"/>
      <c r="I483" s="21">
        <f>IF(E483="","",MAX(F483*G483-N(H483),0))</f>
        <v/>
      </c>
      <c r="J483" s="19" t="n"/>
      <c r="K483" s="20" t="n"/>
      <c r="L483" s="20" t="n"/>
      <c r="M483" s="20" t="n"/>
      <c r="N483" s="20">
        <f>IF(OR(E483="",M483="Entregue",M483="Cancelado",J483=""),"",IF(J483&lt;TODAY(),"ATRASADO",IF(J483=TODAY(),"ENTREGA HOJE","")))</f>
        <v/>
      </c>
    </row>
    <row r="484">
      <c r="A484" s="18" t="n"/>
      <c r="B484" s="19" t="n"/>
      <c r="C484" s="20" t="n"/>
      <c r="D484" s="20" t="n"/>
      <c r="E484" s="20" t="n"/>
      <c r="F484" s="18" t="n"/>
      <c r="G484" s="21">
        <f>IF(E484="","",IFERROR(VLOOKUP(E484,'Catálogo'!$A$5:$B$504,2,FALSE),0))</f>
        <v/>
      </c>
      <c r="H484" s="21" t="n"/>
      <c r="I484" s="21">
        <f>IF(E484="","",MAX(F484*G484-N(H484),0))</f>
        <v/>
      </c>
      <c r="J484" s="19" t="n"/>
      <c r="K484" s="20" t="n"/>
      <c r="L484" s="20" t="n"/>
      <c r="M484" s="20" t="n"/>
      <c r="N484" s="20">
        <f>IF(OR(E484="",M484="Entregue",M484="Cancelado",J484=""),"",IF(J484&lt;TODAY(),"ATRASADO",IF(J484=TODAY(),"ENTREGA HOJE","")))</f>
        <v/>
      </c>
    </row>
    <row r="485">
      <c r="A485" s="18" t="n"/>
      <c r="B485" s="19" t="n"/>
      <c r="C485" s="20" t="n"/>
      <c r="D485" s="20" t="n"/>
      <c r="E485" s="20" t="n"/>
      <c r="F485" s="18" t="n"/>
      <c r="G485" s="21">
        <f>IF(E485="","",IFERROR(VLOOKUP(E485,'Catálogo'!$A$5:$B$504,2,FALSE),0))</f>
        <v/>
      </c>
      <c r="H485" s="21" t="n"/>
      <c r="I485" s="21">
        <f>IF(E485="","",MAX(F485*G485-N(H485),0))</f>
        <v/>
      </c>
      <c r="J485" s="19" t="n"/>
      <c r="K485" s="20" t="n"/>
      <c r="L485" s="20" t="n"/>
      <c r="M485" s="20" t="n"/>
      <c r="N485" s="20">
        <f>IF(OR(E485="",M485="Entregue",M485="Cancelado",J485=""),"",IF(J485&lt;TODAY(),"ATRASADO",IF(J485=TODAY(),"ENTREGA HOJE","")))</f>
        <v/>
      </c>
    </row>
    <row r="486">
      <c r="A486" s="18" t="n"/>
      <c r="B486" s="19" t="n"/>
      <c r="C486" s="20" t="n"/>
      <c r="D486" s="20" t="n"/>
      <c r="E486" s="20" t="n"/>
      <c r="F486" s="18" t="n"/>
      <c r="G486" s="21">
        <f>IF(E486="","",IFERROR(VLOOKUP(E486,'Catálogo'!$A$5:$B$504,2,FALSE),0))</f>
        <v/>
      </c>
      <c r="H486" s="21" t="n"/>
      <c r="I486" s="21">
        <f>IF(E486="","",MAX(F486*G486-N(H486),0))</f>
        <v/>
      </c>
      <c r="J486" s="19" t="n"/>
      <c r="K486" s="20" t="n"/>
      <c r="L486" s="20" t="n"/>
      <c r="M486" s="20" t="n"/>
      <c r="N486" s="20">
        <f>IF(OR(E486="",M486="Entregue",M486="Cancelado",J486=""),"",IF(J486&lt;TODAY(),"ATRASADO",IF(J486=TODAY(),"ENTREGA HOJE","")))</f>
        <v/>
      </c>
    </row>
    <row r="487">
      <c r="A487" s="18" t="n"/>
      <c r="B487" s="19" t="n"/>
      <c r="C487" s="20" t="n"/>
      <c r="D487" s="20" t="n"/>
      <c r="E487" s="20" t="n"/>
      <c r="F487" s="18" t="n"/>
      <c r="G487" s="21">
        <f>IF(E487="","",IFERROR(VLOOKUP(E487,'Catálogo'!$A$5:$B$504,2,FALSE),0))</f>
        <v/>
      </c>
      <c r="H487" s="21" t="n"/>
      <c r="I487" s="21">
        <f>IF(E487="","",MAX(F487*G487-N(H487),0))</f>
        <v/>
      </c>
      <c r="J487" s="19" t="n"/>
      <c r="K487" s="20" t="n"/>
      <c r="L487" s="20" t="n"/>
      <c r="M487" s="20" t="n"/>
      <c r="N487" s="20">
        <f>IF(OR(E487="",M487="Entregue",M487="Cancelado",J487=""),"",IF(J487&lt;TODAY(),"ATRASADO",IF(J487=TODAY(),"ENTREGA HOJE","")))</f>
        <v/>
      </c>
    </row>
    <row r="488">
      <c r="A488" s="18" t="n"/>
      <c r="B488" s="19" t="n"/>
      <c r="C488" s="20" t="n"/>
      <c r="D488" s="20" t="n"/>
      <c r="E488" s="20" t="n"/>
      <c r="F488" s="18" t="n"/>
      <c r="G488" s="21">
        <f>IF(E488="","",IFERROR(VLOOKUP(E488,'Catálogo'!$A$5:$B$504,2,FALSE),0))</f>
        <v/>
      </c>
      <c r="H488" s="21" t="n"/>
      <c r="I488" s="21">
        <f>IF(E488="","",MAX(F488*G488-N(H488),0))</f>
        <v/>
      </c>
      <c r="J488" s="19" t="n"/>
      <c r="K488" s="20" t="n"/>
      <c r="L488" s="20" t="n"/>
      <c r="M488" s="20" t="n"/>
      <c r="N488" s="20">
        <f>IF(OR(E488="",M488="Entregue",M488="Cancelado",J488=""),"",IF(J488&lt;TODAY(),"ATRASADO",IF(J488=TODAY(),"ENTREGA HOJE","")))</f>
        <v/>
      </c>
    </row>
    <row r="489">
      <c r="A489" s="18" t="n"/>
      <c r="B489" s="19" t="n"/>
      <c r="C489" s="20" t="n"/>
      <c r="D489" s="20" t="n"/>
      <c r="E489" s="20" t="n"/>
      <c r="F489" s="18" t="n"/>
      <c r="G489" s="21">
        <f>IF(E489="","",IFERROR(VLOOKUP(E489,'Catálogo'!$A$5:$B$504,2,FALSE),0))</f>
        <v/>
      </c>
      <c r="H489" s="21" t="n"/>
      <c r="I489" s="21">
        <f>IF(E489="","",MAX(F489*G489-N(H489),0))</f>
        <v/>
      </c>
      <c r="J489" s="19" t="n"/>
      <c r="K489" s="20" t="n"/>
      <c r="L489" s="20" t="n"/>
      <c r="M489" s="20" t="n"/>
      <c r="N489" s="20">
        <f>IF(OR(E489="",M489="Entregue",M489="Cancelado",J489=""),"",IF(J489&lt;TODAY(),"ATRASADO",IF(J489=TODAY(),"ENTREGA HOJE","")))</f>
        <v/>
      </c>
    </row>
    <row r="490">
      <c r="A490" s="18" t="n"/>
      <c r="B490" s="19" t="n"/>
      <c r="C490" s="20" t="n"/>
      <c r="D490" s="20" t="n"/>
      <c r="E490" s="20" t="n"/>
      <c r="F490" s="18" t="n"/>
      <c r="G490" s="21">
        <f>IF(E490="","",IFERROR(VLOOKUP(E490,'Catálogo'!$A$5:$B$504,2,FALSE),0))</f>
        <v/>
      </c>
      <c r="H490" s="21" t="n"/>
      <c r="I490" s="21">
        <f>IF(E490="","",MAX(F490*G490-N(H490),0))</f>
        <v/>
      </c>
      <c r="J490" s="19" t="n"/>
      <c r="K490" s="20" t="n"/>
      <c r="L490" s="20" t="n"/>
      <c r="M490" s="20" t="n"/>
      <c r="N490" s="20">
        <f>IF(OR(E490="",M490="Entregue",M490="Cancelado",J490=""),"",IF(J490&lt;TODAY(),"ATRASADO",IF(J490=TODAY(),"ENTREGA HOJE","")))</f>
        <v/>
      </c>
    </row>
    <row r="491">
      <c r="A491" s="18" t="n"/>
      <c r="B491" s="19" t="n"/>
      <c r="C491" s="20" t="n"/>
      <c r="D491" s="20" t="n"/>
      <c r="E491" s="20" t="n"/>
      <c r="F491" s="18" t="n"/>
      <c r="G491" s="21">
        <f>IF(E491="","",IFERROR(VLOOKUP(E491,'Catálogo'!$A$5:$B$504,2,FALSE),0))</f>
        <v/>
      </c>
      <c r="H491" s="21" t="n"/>
      <c r="I491" s="21">
        <f>IF(E491="","",MAX(F491*G491-N(H491),0))</f>
        <v/>
      </c>
      <c r="J491" s="19" t="n"/>
      <c r="K491" s="20" t="n"/>
      <c r="L491" s="20" t="n"/>
      <c r="M491" s="20" t="n"/>
      <c r="N491" s="20">
        <f>IF(OR(E491="",M491="Entregue",M491="Cancelado",J491=""),"",IF(J491&lt;TODAY(),"ATRASADO",IF(J491=TODAY(),"ENTREGA HOJE","")))</f>
        <v/>
      </c>
    </row>
    <row r="492">
      <c r="A492" s="18" t="n"/>
      <c r="B492" s="19" t="n"/>
      <c r="C492" s="20" t="n"/>
      <c r="D492" s="20" t="n"/>
      <c r="E492" s="20" t="n"/>
      <c r="F492" s="18" t="n"/>
      <c r="G492" s="21">
        <f>IF(E492="","",IFERROR(VLOOKUP(E492,'Catálogo'!$A$5:$B$504,2,FALSE),0))</f>
        <v/>
      </c>
      <c r="H492" s="21" t="n"/>
      <c r="I492" s="21">
        <f>IF(E492="","",MAX(F492*G492-N(H492),0))</f>
        <v/>
      </c>
      <c r="J492" s="19" t="n"/>
      <c r="K492" s="20" t="n"/>
      <c r="L492" s="20" t="n"/>
      <c r="M492" s="20" t="n"/>
      <c r="N492" s="20">
        <f>IF(OR(E492="",M492="Entregue",M492="Cancelado",J492=""),"",IF(J492&lt;TODAY(),"ATRASADO",IF(J492=TODAY(),"ENTREGA HOJE","")))</f>
        <v/>
      </c>
    </row>
    <row r="493">
      <c r="A493" s="18" t="n"/>
      <c r="B493" s="19" t="n"/>
      <c r="C493" s="20" t="n"/>
      <c r="D493" s="20" t="n"/>
      <c r="E493" s="20" t="n"/>
      <c r="F493" s="18" t="n"/>
      <c r="G493" s="21">
        <f>IF(E493="","",IFERROR(VLOOKUP(E493,'Catálogo'!$A$5:$B$504,2,FALSE),0))</f>
        <v/>
      </c>
      <c r="H493" s="21" t="n"/>
      <c r="I493" s="21">
        <f>IF(E493="","",MAX(F493*G493-N(H493),0))</f>
        <v/>
      </c>
      <c r="J493" s="19" t="n"/>
      <c r="K493" s="20" t="n"/>
      <c r="L493" s="20" t="n"/>
      <c r="M493" s="20" t="n"/>
      <c r="N493" s="20">
        <f>IF(OR(E493="",M493="Entregue",M493="Cancelado",J493=""),"",IF(J493&lt;TODAY(),"ATRASADO",IF(J493=TODAY(),"ENTREGA HOJE","")))</f>
        <v/>
      </c>
    </row>
    <row r="494">
      <c r="A494" s="18" t="n"/>
      <c r="B494" s="19" t="n"/>
      <c r="C494" s="20" t="n"/>
      <c r="D494" s="20" t="n"/>
      <c r="E494" s="20" t="n"/>
      <c r="F494" s="18" t="n"/>
      <c r="G494" s="21">
        <f>IF(E494="","",IFERROR(VLOOKUP(E494,'Catálogo'!$A$5:$B$504,2,FALSE),0))</f>
        <v/>
      </c>
      <c r="H494" s="21" t="n"/>
      <c r="I494" s="21">
        <f>IF(E494="","",MAX(F494*G494-N(H494),0))</f>
        <v/>
      </c>
      <c r="J494" s="19" t="n"/>
      <c r="K494" s="20" t="n"/>
      <c r="L494" s="20" t="n"/>
      <c r="M494" s="20" t="n"/>
      <c r="N494" s="20">
        <f>IF(OR(E494="",M494="Entregue",M494="Cancelado",J494=""),"",IF(J494&lt;TODAY(),"ATRASADO",IF(J494=TODAY(),"ENTREGA HOJE","")))</f>
        <v/>
      </c>
    </row>
    <row r="495">
      <c r="A495" s="18" t="n"/>
      <c r="B495" s="19" t="n"/>
      <c r="C495" s="20" t="n"/>
      <c r="D495" s="20" t="n"/>
      <c r="E495" s="20" t="n"/>
      <c r="F495" s="18" t="n"/>
      <c r="G495" s="21">
        <f>IF(E495="","",IFERROR(VLOOKUP(E495,'Catálogo'!$A$5:$B$504,2,FALSE),0))</f>
        <v/>
      </c>
      <c r="H495" s="21" t="n"/>
      <c r="I495" s="21">
        <f>IF(E495="","",MAX(F495*G495-N(H495),0))</f>
        <v/>
      </c>
      <c r="J495" s="19" t="n"/>
      <c r="K495" s="20" t="n"/>
      <c r="L495" s="20" t="n"/>
      <c r="M495" s="20" t="n"/>
      <c r="N495" s="20">
        <f>IF(OR(E495="",M495="Entregue",M495="Cancelado",J495=""),"",IF(J495&lt;TODAY(),"ATRASADO",IF(J495=TODAY(),"ENTREGA HOJE","")))</f>
        <v/>
      </c>
    </row>
    <row r="496">
      <c r="A496" s="18" t="n"/>
      <c r="B496" s="19" t="n"/>
      <c r="C496" s="20" t="n"/>
      <c r="D496" s="20" t="n"/>
      <c r="E496" s="20" t="n"/>
      <c r="F496" s="18" t="n"/>
      <c r="G496" s="21">
        <f>IF(E496="","",IFERROR(VLOOKUP(E496,'Catálogo'!$A$5:$B$504,2,FALSE),0))</f>
        <v/>
      </c>
      <c r="H496" s="21" t="n"/>
      <c r="I496" s="21">
        <f>IF(E496="","",MAX(F496*G496-N(H496),0))</f>
        <v/>
      </c>
      <c r="J496" s="19" t="n"/>
      <c r="K496" s="20" t="n"/>
      <c r="L496" s="20" t="n"/>
      <c r="M496" s="20" t="n"/>
      <c r="N496" s="20">
        <f>IF(OR(E496="",M496="Entregue",M496="Cancelado",J496=""),"",IF(J496&lt;TODAY(),"ATRASADO",IF(J496=TODAY(),"ENTREGA HOJE","")))</f>
        <v/>
      </c>
    </row>
    <row r="497">
      <c r="A497" s="18" t="n"/>
      <c r="B497" s="19" t="n"/>
      <c r="C497" s="20" t="n"/>
      <c r="D497" s="20" t="n"/>
      <c r="E497" s="20" t="n"/>
      <c r="F497" s="18" t="n"/>
      <c r="G497" s="21">
        <f>IF(E497="","",IFERROR(VLOOKUP(E497,'Catálogo'!$A$5:$B$504,2,FALSE),0))</f>
        <v/>
      </c>
      <c r="H497" s="21" t="n"/>
      <c r="I497" s="21">
        <f>IF(E497="","",MAX(F497*G497-N(H497),0))</f>
        <v/>
      </c>
      <c r="J497" s="19" t="n"/>
      <c r="K497" s="20" t="n"/>
      <c r="L497" s="20" t="n"/>
      <c r="M497" s="20" t="n"/>
      <c r="N497" s="20">
        <f>IF(OR(E497="",M497="Entregue",M497="Cancelado",J497=""),"",IF(J497&lt;TODAY(),"ATRASADO",IF(J497=TODAY(),"ENTREGA HOJE","")))</f>
        <v/>
      </c>
    </row>
    <row r="498">
      <c r="A498" s="18" t="n"/>
      <c r="B498" s="19" t="n"/>
      <c r="C498" s="20" t="n"/>
      <c r="D498" s="20" t="n"/>
      <c r="E498" s="20" t="n"/>
      <c r="F498" s="18" t="n"/>
      <c r="G498" s="21">
        <f>IF(E498="","",IFERROR(VLOOKUP(E498,'Catálogo'!$A$5:$B$504,2,FALSE),0))</f>
        <v/>
      </c>
      <c r="H498" s="21" t="n"/>
      <c r="I498" s="21">
        <f>IF(E498="","",MAX(F498*G498-N(H498),0))</f>
        <v/>
      </c>
      <c r="J498" s="19" t="n"/>
      <c r="K498" s="20" t="n"/>
      <c r="L498" s="20" t="n"/>
      <c r="M498" s="20" t="n"/>
      <c r="N498" s="20">
        <f>IF(OR(E498="",M498="Entregue",M498="Cancelado",J498=""),"",IF(J498&lt;TODAY(),"ATRASADO",IF(J498=TODAY(),"ENTREGA HOJE","")))</f>
        <v/>
      </c>
    </row>
    <row r="499">
      <c r="A499" s="18" t="n"/>
      <c r="B499" s="19" t="n"/>
      <c r="C499" s="20" t="n"/>
      <c r="D499" s="20" t="n"/>
      <c r="E499" s="20" t="n"/>
      <c r="F499" s="18" t="n"/>
      <c r="G499" s="21">
        <f>IF(E499="","",IFERROR(VLOOKUP(E499,'Catálogo'!$A$5:$B$504,2,FALSE),0))</f>
        <v/>
      </c>
      <c r="H499" s="21" t="n"/>
      <c r="I499" s="21">
        <f>IF(E499="","",MAX(F499*G499-N(H499),0))</f>
        <v/>
      </c>
      <c r="J499" s="19" t="n"/>
      <c r="K499" s="20" t="n"/>
      <c r="L499" s="20" t="n"/>
      <c r="M499" s="20" t="n"/>
      <c r="N499" s="20">
        <f>IF(OR(E499="",M499="Entregue",M499="Cancelado",J499=""),"",IF(J499&lt;TODAY(),"ATRASADO",IF(J499=TODAY(),"ENTREGA HOJE","")))</f>
        <v/>
      </c>
    </row>
    <row r="500">
      <c r="A500" s="18" t="n"/>
      <c r="B500" s="19" t="n"/>
      <c r="C500" s="20" t="n"/>
      <c r="D500" s="20" t="n"/>
      <c r="E500" s="20" t="n"/>
      <c r="F500" s="18" t="n"/>
      <c r="G500" s="21">
        <f>IF(E500="","",IFERROR(VLOOKUP(E500,'Catálogo'!$A$5:$B$504,2,FALSE),0))</f>
        <v/>
      </c>
      <c r="H500" s="21" t="n"/>
      <c r="I500" s="21">
        <f>IF(E500="","",MAX(F500*G500-N(H500),0))</f>
        <v/>
      </c>
      <c r="J500" s="19" t="n"/>
      <c r="K500" s="20" t="n"/>
      <c r="L500" s="20" t="n"/>
      <c r="M500" s="20" t="n"/>
      <c r="N500" s="20">
        <f>IF(OR(E500="",M500="Entregue",M500="Cancelado",J500=""),"",IF(J500&lt;TODAY(),"ATRASADO",IF(J500=TODAY(),"ENTREGA HOJE","")))</f>
        <v/>
      </c>
    </row>
    <row r="501">
      <c r="A501" s="18" t="n"/>
      <c r="B501" s="19" t="n"/>
      <c r="C501" s="20" t="n"/>
      <c r="D501" s="20" t="n"/>
      <c r="E501" s="20" t="n"/>
      <c r="F501" s="18" t="n"/>
      <c r="G501" s="21">
        <f>IF(E501="","",IFERROR(VLOOKUP(E501,'Catálogo'!$A$5:$B$504,2,FALSE),0))</f>
        <v/>
      </c>
      <c r="H501" s="21" t="n"/>
      <c r="I501" s="21">
        <f>IF(E501="","",MAX(F501*G501-N(H501),0))</f>
        <v/>
      </c>
      <c r="J501" s="19" t="n"/>
      <c r="K501" s="20" t="n"/>
      <c r="L501" s="20" t="n"/>
      <c r="M501" s="20" t="n"/>
      <c r="N501" s="20">
        <f>IF(OR(E501="",M501="Entregue",M501="Cancelado",J501=""),"",IF(J501&lt;TODAY(),"ATRASADO",IF(J501=TODAY(),"ENTREGA HOJE","")))</f>
        <v/>
      </c>
    </row>
    <row r="502">
      <c r="A502" s="18" t="n"/>
      <c r="B502" s="19" t="n"/>
      <c r="C502" s="20" t="n"/>
      <c r="D502" s="20" t="n"/>
      <c r="E502" s="20" t="n"/>
      <c r="F502" s="18" t="n"/>
      <c r="G502" s="21">
        <f>IF(E502="","",IFERROR(VLOOKUP(E502,'Catálogo'!$A$5:$B$504,2,FALSE),0))</f>
        <v/>
      </c>
      <c r="H502" s="21" t="n"/>
      <c r="I502" s="21">
        <f>IF(E502="","",MAX(F502*G502-N(H502),0))</f>
        <v/>
      </c>
      <c r="J502" s="19" t="n"/>
      <c r="K502" s="20" t="n"/>
      <c r="L502" s="20" t="n"/>
      <c r="M502" s="20" t="n"/>
      <c r="N502" s="20">
        <f>IF(OR(E502="",M502="Entregue",M502="Cancelado",J502=""),"",IF(J502&lt;TODAY(),"ATRASADO",IF(J502=TODAY(),"ENTREGA HOJE","")))</f>
        <v/>
      </c>
    </row>
    <row r="503">
      <c r="A503" s="18" t="n"/>
      <c r="B503" s="19" t="n"/>
      <c r="C503" s="20" t="n"/>
      <c r="D503" s="20" t="n"/>
      <c r="E503" s="20" t="n"/>
      <c r="F503" s="18" t="n"/>
      <c r="G503" s="21">
        <f>IF(E503="","",IFERROR(VLOOKUP(E503,'Catálogo'!$A$5:$B$504,2,FALSE),0))</f>
        <v/>
      </c>
      <c r="H503" s="21" t="n"/>
      <c r="I503" s="21">
        <f>IF(E503="","",MAX(F503*G503-N(H503),0))</f>
        <v/>
      </c>
      <c r="J503" s="19" t="n"/>
      <c r="K503" s="20" t="n"/>
      <c r="L503" s="20" t="n"/>
      <c r="M503" s="20" t="n"/>
      <c r="N503" s="20">
        <f>IF(OR(E503="",M503="Entregue",M503="Cancelado",J503=""),"",IF(J503&lt;TODAY(),"ATRASADO",IF(J503=TODAY(),"ENTREGA HOJE","")))</f>
        <v/>
      </c>
    </row>
    <row r="504">
      <c r="A504" s="18" t="n"/>
      <c r="B504" s="19" t="n"/>
      <c r="C504" s="20" t="n"/>
      <c r="D504" s="20" t="n"/>
      <c r="E504" s="20" t="n"/>
      <c r="F504" s="18" t="n"/>
      <c r="G504" s="21">
        <f>IF(E504="","",IFERROR(VLOOKUP(E504,'Catálogo'!$A$5:$B$504,2,FALSE),0))</f>
        <v/>
      </c>
      <c r="H504" s="21" t="n"/>
      <c r="I504" s="21">
        <f>IF(E504="","",MAX(F504*G504-N(H504),0))</f>
        <v/>
      </c>
      <c r="J504" s="19" t="n"/>
      <c r="K504" s="20" t="n"/>
      <c r="L504" s="20" t="n"/>
      <c r="M504" s="20" t="n"/>
      <c r="N504" s="20">
        <f>IF(OR(E504="",M504="Entregue",M504="Cancelado",J504=""),"",IF(J504&lt;TODAY(),"ATRASADO",IF(J504=TODAY(),"ENTREGA HOJE","")))</f>
        <v/>
      </c>
    </row>
  </sheetData>
  <conditionalFormatting sqref="N5:N504">
    <cfRule type="expression" priority="1" dxfId="0">
      <formula>N5="ATRASADO"</formula>
    </cfRule>
    <cfRule type="expression" priority="2" dxfId="1">
      <formula>N5="ENTREGA HOJE"</formula>
    </cfRule>
  </conditionalFormatting>
  <conditionalFormatting sqref="M5:M504">
    <cfRule type="expression" priority="3" dxfId="2">
      <formula>M5="Entregue"</formula>
    </cfRule>
  </conditionalFormatting>
  <conditionalFormatting sqref="L5:L504">
    <cfRule type="expression" priority="4" dxfId="1">
      <formula>L5="Não"</formula>
    </cfRule>
  </conditionalFormatting>
  <dataValidations count="4">
    <dataValidation sqref="E5:E504" showDropDown="0" showInputMessage="0" showErrorMessage="0" allowBlank="1" errorTitle="Valor inválido" error="Escolha um valor da lista." type="list">
      <formula1>='Catálogo'!$A$5:$A$504</formula1>
    </dataValidation>
    <dataValidation sqref="K5:K504" showDropDown="0" showInputMessage="0" showErrorMessage="0" allowBlank="1" errorTitle="Valor inválido" error="Escolha um valor da lista." type="list">
      <formula1>"Pix,Dinheiro,Cartão de crédito,Cartão de débito,Boleto,Fiado"</formula1>
    </dataValidation>
    <dataValidation sqref="L5:L504" showDropDown="0" showInputMessage="0" showErrorMessage="0" allowBlank="1" errorTitle="Valor inválido" error="Escolha um valor da lista." type="list">
      <formula1>"Sim,Não"</formula1>
    </dataValidation>
    <dataValidation sqref="M5:M504" showDropDown="0" showInputMessage="0" showErrorMessage="0" allowBlank="1" errorTitle="Valor inválido" error="Escolha um valor da lista." type="list">
      <formula1>"Novo,Em produção,Pronto,Entregue,Cancelado"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</cols>
  <sheetData>
    <row r="1" ht="28" customHeight="1">
      <c r="A1" s="1" t="inlineStr">
        <is>
          <t>Catálogo</t>
        </is>
      </c>
    </row>
    <row r="2">
      <c r="A2" s="2" t="inlineStr">
        <is>
          <t>Seus produtos ou serviços e o preço de venda.</t>
        </is>
      </c>
    </row>
    <row r="4" ht="32" customHeight="1">
      <c r="A4" s="16" t="inlineStr">
        <is>
          <t>Produto / serviço</t>
        </is>
      </c>
      <c r="B4" s="16" t="inlineStr">
        <is>
          <t>Preço de venda</t>
        </is>
      </c>
      <c r="C4" s="16" t="inlineStr">
        <is>
          <t>Categoria</t>
        </is>
      </c>
    </row>
    <row r="5">
      <c r="A5" s="20" t="inlineStr">
        <is>
          <t>Bolo de pote</t>
        </is>
      </c>
      <c r="B5" s="21" t="n">
        <v>12</v>
      </c>
      <c r="C5" s="20" t="inlineStr">
        <is>
          <t>Doces</t>
        </is>
      </c>
    </row>
    <row r="6">
      <c r="A6" s="20" t="inlineStr">
        <is>
          <t>Brigadeiro gourmet (cento)</t>
        </is>
      </c>
      <c r="B6" s="21" t="n">
        <v>150</v>
      </c>
      <c r="C6" s="20" t="inlineStr">
        <is>
          <t>Doces</t>
        </is>
      </c>
    </row>
    <row r="7">
      <c r="A7" s="20" t="inlineStr">
        <is>
          <t>Torta de limão inteira</t>
        </is>
      </c>
      <c r="B7" s="21" t="n">
        <v>85</v>
      </c>
      <c r="C7" s="20" t="inlineStr">
        <is>
          <t>Tortas</t>
        </is>
      </c>
    </row>
    <row r="8">
      <c r="A8" s="20" t="inlineStr">
        <is>
          <t>Kit festa 20 pessoas</t>
        </is>
      </c>
      <c r="B8" s="21" t="n">
        <v>260</v>
      </c>
      <c r="C8" s="20" t="inlineStr">
        <is>
          <t>Kits</t>
        </is>
      </c>
    </row>
    <row r="9">
      <c r="A9" s="20" t="inlineStr">
        <is>
          <t>Taxa de entrega</t>
        </is>
      </c>
      <c r="B9" s="21" t="n">
        <v>10</v>
      </c>
      <c r="C9" s="20" t="inlineStr">
        <is>
          <t>Serviços</t>
        </is>
      </c>
    </row>
    <row r="10">
      <c r="A10" s="20" t="n"/>
      <c r="B10" s="21" t="n"/>
      <c r="C10" s="20" t="n"/>
    </row>
    <row r="11">
      <c r="A11" s="20" t="n"/>
      <c r="B11" s="21" t="n"/>
      <c r="C11" s="20" t="n"/>
    </row>
    <row r="12">
      <c r="A12" s="20" t="n"/>
      <c r="B12" s="21" t="n"/>
      <c r="C12" s="20" t="n"/>
    </row>
    <row r="13">
      <c r="A13" s="20" t="n"/>
      <c r="B13" s="21" t="n"/>
      <c r="C13" s="20" t="n"/>
    </row>
    <row r="14">
      <c r="A14" s="20" t="n"/>
      <c r="B14" s="21" t="n"/>
      <c r="C14" s="20" t="n"/>
    </row>
    <row r="15">
      <c r="A15" s="20" t="n"/>
      <c r="B15" s="21" t="n"/>
      <c r="C15" s="20" t="n"/>
    </row>
    <row r="16">
      <c r="A16" s="20" t="n"/>
      <c r="B16" s="21" t="n"/>
      <c r="C16" s="20" t="n"/>
    </row>
    <row r="17">
      <c r="A17" s="20" t="n"/>
      <c r="B17" s="21" t="n"/>
      <c r="C17" s="20" t="n"/>
    </row>
    <row r="18">
      <c r="A18" s="20" t="n"/>
      <c r="B18" s="21" t="n"/>
      <c r="C18" s="20" t="n"/>
    </row>
    <row r="19">
      <c r="A19" s="20" t="n"/>
      <c r="B19" s="21" t="n"/>
      <c r="C19" s="20" t="n"/>
    </row>
    <row r="20">
      <c r="A20" s="20" t="n"/>
      <c r="B20" s="21" t="n"/>
      <c r="C20" s="20" t="n"/>
    </row>
    <row r="21">
      <c r="A21" s="20" t="n"/>
      <c r="B21" s="21" t="n"/>
      <c r="C21" s="20" t="n"/>
    </row>
    <row r="22">
      <c r="A22" s="20" t="n"/>
      <c r="B22" s="21" t="n"/>
      <c r="C22" s="20" t="n"/>
    </row>
    <row r="23">
      <c r="A23" s="20" t="n"/>
      <c r="B23" s="21" t="n"/>
      <c r="C23" s="20" t="n"/>
    </row>
    <row r="24">
      <c r="A24" s="20" t="n"/>
      <c r="B24" s="21" t="n"/>
      <c r="C24" s="20" t="n"/>
    </row>
    <row r="25">
      <c r="A25" s="20" t="n"/>
      <c r="B25" s="21" t="n"/>
      <c r="C25" s="20" t="n"/>
    </row>
    <row r="26">
      <c r="A26" s="20" t="n"/>
      <c r="B26" s="21" t="n"/>
      <c r="C26" s="20" t="n"/>
    </row>
    <row r="27">
      <c r="A27" s="20" t="n"/>
      <c r="B27" s="21" t="n"/>
      <c r="C27" s="20" t="n"/>
    </row>
    <row r="28">
      <c r="A28" s="20" t="n"/>
      <c r="B28" s="21" t="n"/>
      <c r="C28" s="20" t="n"/>
    </row>
    <row r="29">
      <c r="A29" s="20" t="n"/>
      <c r="B29" s="21" t="n"/>
      <c r="C29" s="20" t="n"/>
    </row>
    <row r="30">
      <c r="A30" s="20" t="n"/>
      <c r="B30" s="21" t="n"/>
      <c r="C30" s="20" t="n"/>
    </row>
    <row r="31">
      <c r="A31" s="20" t="n"/>
      <c r="B31" s="21" t="n"/>
      <c r="C31" s="20" t="n"/>
    </row>
    <row r="32">
      <c r="A32" s="20" t="n"/>
      <c r="B32" s="21" t="n"/>
      <c r="C32" s="20" t="n"/>
    </row>
    <row r="33">
      <c r="A33" s="20" t="n"/>
      <c r="B33" s="21" t="n"/>
      <c r="C33" s="20" t="n"/>
    </row>
    <row r="34">
      <c r="A34" s="20" t="n"/>
      <c r="B34" s="21" t="n"/>
      <c r="C34" s="20" t="n"/>
    </row>
    <row r="35">
      <c r="A35" s="20" t="n"/>
      <c r="B35" s="21" t="n"/>
      <c r="C35" s="20" t="n"/>
    </row>
    <row r="36">
      <c r="A36" s="20" t="n"/>
      <c r="B36" s="21" t="n"/>
      <c r="C36" s="20" t="n"/>
    </row>
    <row r="37">
      <c r="A37" s="20" t="n"/>
      <c r="B37" s="21" t="n"/>
      <c r="C37" s="20" t="n"/>
    </row>
    <row r="38">
      <c r="A38" s="20" t="n"/>
      <c r="B38" s="21" t="n"/>
      <c r="C38" s="20" t="n"/>
    </row>
    <row r="39">
      <c r="A39" s="20" t="n"/>
      <c r="B39" s="21" t="n"/>
      <c r="C39" s="20" t="n"/>
    </row>
    <row r="40">
      <c r="A40" s="20" t="n"/>
      <c r="B40" s="21" t="n"/>
      <c r="C40" s="20" t="n"/>
    </row>
    <row r="41">
      <c r="A41" s="20" t="n"/>
      <c r="B41" s="21" t="n"/>
      <c r="C41" s="20" t="n"/>
    </row>
    <row r="42">
      <c r="A42" s="20" t="n"/>
      <c r="B42" s="21" t="n"/>
      <c r="C42" s="20" t="n"/>
    </row>
    <row r="43">
      <c r="A43" s="20" t="n"/>
      <c r="B43" s="21" t="n"/>
      <c r="C43" s="20" t="n"/>
    </row>
    <row r="44">
      <c r="A44" s="20" t="n"/>
      <c r="B44" s="21" t="n"/>
      <c r="C44" s="20" t="n"/>
    </row>
    <row r="45">
      <c r="A45" s="20" t="n"/>
      <c r="B45" s="21" t="n"/>
      <c r="C45" s="20" t="n"/>
    </row>
    <row r="46">
      <c r="A46" s="20" t="n"/>
      <c r="B46" s="21" t="n"/>
      <c r="C46" s="20" t="n"/>
    </row>
    <row r="47">
      <c r="A47" s="20" t="n"/>
      <c r="B47" s="21" t="n"/>
      <c r="C47" s="20" t="n"/>
    </row>
    <row r="48">
      <c r="A48" s="20" t="n"/>
      <c r="B48" s="21" t="n"/>
      <c r="C48" s="20" t="n"/>
    </row>
    <row r="49">
      <c r="A49" s="20" t="n"/>
      <c r="B49" s="21" t="n"/>
      <c r="C49" s="20" t="n"/>
    </row>
    <row r="50">
      <c r="A50" s="20" t="n"/>
      <c r="B50" s="21" t="n"/>
      <c r="C50" s="20" t="n"/>
    </row>
    <row r="51">
      <c r="A51" s="20" t="n"/>
      <c r="B51" s="21" t="n"/>
      <c r="C51" s="20" t="n"/>
    </row>
    <row r="52">
      <c r="A52" s="20" t="n"/>
      <c r="B52" s="21" t="n"/>
      <c r="C52" s="20" t="n"/>
    </row>
    <row r="53">
      <c r="A53" s="20" t="n"/>
      <c r="B53" s="21" t="n"/>
      <c r="C53" s="20" t="n"/>
    </row>
    <row r="54">
      <c r="A54" s="20" t="n"/>
      <c r="B54" s="21" t="n"/>
      <c r="C54" s="20" t="n"/>
    </row>
    <row r="55">
      <c r="A55" s="20" t="n"/>
      <c r="B55" s="21" t="n"/>
      <c r="C55" s="20" t="n"/>
    </row>
    <row r="56">
      <c r="A56" s="20" t="n"/>
      <c r="B56" s="21" t="n"/>
      <c r="C56" s="20" t="n"/>
    </row>
    <row r="57">
      <c r="A57" s="20" t="n"/>
      <c r="B57" s="21" t="n"/>
      <c r="C57" s="20" t="n"/>
    </row>
    <row r="58">
      <c r="A58" s="20" t="n"/>
      <c r="B58" s="21" t="n"/>
      <c r="C58" s="20" t="n"/>
    </row>
    <row r="59">
      <c r="A59" s="20" t="n"/>
      <c r="B59" s="21" t="n"/>
      <c r="C59" s="20" t="n"/>
    </row>
    <row r="60">
      <c r="A60" s="20" t="n"/>
      <c r="B60" s="21" t="n"/>
      <c r="C60" s="20" t="n"/>
    </row>
    <row r="61">
      <c r="A61" s="20" t="n"/>
      <c r="B61" s="21" t="n"/>
      <c r="C61" s="20" t="n"/>
    </row>
    <row r="62">
      <c r="A62" s="20" t="n"/>
      <c r="B62" s="21" t="n"/>
      <c r="C62" s="20" t="n"/>
    </row>
    <row r="63">
      <c r="A63" s="20" t="n"/>
      <c r="B63" s="21" t="n"/>
      <c r="C63" s="20" t="n"/>
    </row>
    <row r="64">
      <c r="A64" s="20" t="n"/>
      <c r="B64" s="21" t="n"/>
      <c r="C64" s="20" t="n"/>
    </row>
    <row r="65">
      <c r="A65" s="20" t="n"/>
      <c r="B65" s="21" t="n"/>
      <c r="C65" s="20" t="n"/>
    </row>
    <row r="66">
      <c r="A66" s="20" t="n"/>
      <c r="B66" s="21" t="n"/>
      <c r="C66" s="20" t="n"/>
    </row>
    <row r="67">
      <c r="A67" s="20" t="n"/>
      <c r="B67" s="21" t="n"/>
      <c r="C67" s="20" t="n"/>
    </row>
    <row r="68">
      <c r="A68" s="20" t="n"/>
      <c r="B68" s="21" t="n"/>
      <c r="C68" s="20" t="n"/>
    </row>
    <row r="69">
      <c r="A69" s="20" t="n"/>
      <c r="B69" s="21" t="n"/>
      <c r="C69" s="20" t="n"/>
    </row>
    <row r="70">
      <c r="A70" s="20" t="n"/>
      <c r="B70" s="21" t="n"/>
      <c r="C70" s="20" t="n"/>
    </row>
    <row r="71">
      <c r="A71" s="20" t="n"/>
      <c r="B71" s="21" t="n"/>
      <c r="C71" s="20" t="n"/>
    </row>
    <row r="72">
      <c r="A72" s="20" t="n"/>
      <c r="B72" s="21" t="n"/>
      <c r="C72" s="20" t="n"/>
    </row>
    <row r="73">
      <c r="A73" s="20" t="n"/>
      <c r="B73" s="21" t="n"/>
      <c r="C73" s="20" t="n"/>
    </row>
    <row r="74">
      <c r="A74" s="20" t="n"/>
      <c r="B74" s="21" t="n"/>
      <c r="C74" s="20" t="n"/>
    </row>
    <row r="75">
      <c r="A75" s="20" t="n"/>
      <c r="B75" s="21" t="n"/>
      <c r="C75" s="20" t="n"/>
    </row>
    <row r="76">
      <c r="A76" s="20" t="n"/>
      <c r="B76" s="21" t="n"/>
      <c r="C76" s="20" t="n"/>
    </row>
    <row r="77">
      <c r="A77" s="20" t="n"/>
      <c r="B77" s="21" t="n"/>
      <c r="C77" s="20" t="n"/>
    </row>
    <row r="78">
      <c r="A78" s="20" t="n"/>
      <c r="B78" s="21" t="n"/>
      <c r="C78" s="20" t="n"/>
    </row>
    <row r="79">
      <c r="A79" s="20" t="n"/>
      <c r="B79" s="21" t="n"/>
      <c r="C79" s="20" t="n"/>
    </row>
    <row r="80">
      <c r="A80" s="20" t="n"/>
      <c r="B80" s="21" t="n"/>
      <c r="C80" s="20" t="n"/>
    </row>
    <row r="81">
      <c r="A81" s="20" t="n"/>
      <c r="B81" s="21" t="n"/>
      <c r="C81" s="20" t="n"/>
    </row>
    <row r="82">
      <c r="A82" s="20" t="n"/>
      <c r="B82" s="21" t="n"/>
      <c r="C82" s="20" t="n"/>
    </row>
    <row r="83">
      <c r="A83" s="20" t="n"/>
      <c r="B83" s="21" t="n"/>
      <c r="C83" s="20" t="n"/>
    </row>
    <row r="84">
      <c r="A84" s="20" t="n"/>
      <c r="B84" s="21" t="n"/>
      <c r="C84" s="20" t="n"/>
    </row>
    <row r="85">
      <c r="A85" s="20" t="n"/>
      <c r="B85" s="21" t="n"/>
      <c r="C85" s="20" t="n"/>
    </row>
    <row r="86">
      <c r="A86" s="20" t="n"/>
      <c r="B86" s="21" t="n"/>
      <c r="C86" s="20" t="n"/>
    </row>
    <row r="87">
      <c r="A87" s="20" t="n"/>
      <c r="B87" s="21" t="n"/>
      <c r="C87" s="20" t="n"/>
    </row>
    <row r="88">
      <c r="A88" s="20" t="n"/>
      <c r="B88" s="21" t="n"/>
      <c r="C88" s="20" t="n"/>
    </row>
    <row r="89">
      <c r="A89" s="20" t="n"/>
      <c r="B89" s="21" t="n"/>
      <c r="C89" s="20" t="n"/>
    </row>
    <row r="90">
      <c r="A90" s="20" t="n"/>
      <c r="B90" s="21" t="n"/>
      <c r="C90" s="20" t="n"/>
    </row>
    <row r="91">
      <c r="A91" s="20" t="n"/>
      <c r="B91" s="21" t="n"/>
      <c r="C91" s="20" t="n"/>
    </row>
    <row r="92">
      <c r="A92" s="20" t="n"/>
      <c r="B92" s="21" t="n"/>
      <c r="C92" s="20" t="n"/>
    </row>
    <row r="93">
      <c r="A93" s="20" t="n"/>
      <c r="B93" s="21" t="n"/>
      <c r="C93" s="20" t="n"/>
    </row>
    <row r="94">
      <c r="A94" s="20" t="n"/>
      <c r="B94" s="21" t="n"/>
      <c r="C94" s="20" t="n"/>
    </row>
    <row r="95">
      <c r="A95" s="20" t="n"/>
      <c r="B95" s="21" t="n"/>
      <c r="C95" s="20" t="n"/>
    </row>
    <row r="96">
      <c r="A96" s="20" t="n"/>
      <c r="B96" s="21" t="n"/>
      <c r="C96" s="20" t="n"/>
    </row>
    <row r="97">
      <c r="A97" s="20" t="n"/>
      <c r="B97" s="21" t="n"/>
      <c r="C97" s="20" t="n"/>
    </row>
    <row r="98">
      <c r="A98" s="20" t="n"/>
      <c r="B98" s="21" t="n"/>
      <c r="C98" s="20" t="n"/>
    </row>
    <row r="99">
      <c r="A99" s="20" t="n"/>
      <c r="B99" s="21" t="n"/>
      <c r="C99" s="20" t="n"/>
    </row>
    <row r="100">
      <c r="A100" s="20" t="n"/>
      <c r="B100" s="21" t="n"/>
      <c r="C100" s="20" t="n"/>
    </row>
    <row r="101">
      <c r="A101" s="20" t="n"/>
      <c r="B101" s="21" t="n"/>
      <c r="C101" s="20" t="n"/>
    </row>
    <row r="102">
      <c r="A102" s="20" t="n"/>
      <c r="B102" s="21" t="n"/>
      <c r="C102" s="20" t="n"/>
    </row>
    <row r="103">
      <c r="A103" s="20" t="n"/>
      <c r="B103" s="21" t="n"/>
      <c r="C103" s="20" t="n"/>
    </row>
    <row r="104">
      <c r="A104" s="20" t="n"/>
      <c r="B104" s="21" t="n"/>
      <c r="C104" s="20" t="n"/>
    </row>
    <row r="105">
      <c r="A105" s="20" t="n"/>
      <c r="B105" s="21" t="n"/>
      <c r="C105" s="20" t="n"/>
    </row>
    <row r="106">
      <c r="A106" s="20" t="n"/>
      <c r="B106" s="21" t="n"/>
      <c r="C106" s="20" t="n"/>
    </row>
    <row r="107">
      <c r="A107" s="20" t="n"/>
      <c r="B107" s="21" t="n"/>
      <c r="C107" s="20" t="n"/>
    </row>
    <row r="108">
      <c r="A108" s="20" t="n"/>
      <c r="B108" s="21" t="n"/>
      <c r="C108" s="20" t="n"/>
    </row>
    <row r="109">
      <c r="A109" s="20" t="n"/>
      <c r="B109" s="21" t="n"/>
      <c r="C109" s="20" t="n"/>
    </row>
    <row r="110">
      <c r="A110" s="20" t="n"/>
      <c r="B110" s="21" t="n"/>
      <c r="C110" s="20" t="n"/>
    </row>
    <row r="111">
      <c r="A111" s="20" t="n"/>
      <c r="B111" s="21" t="n"/>
      <c r="C111" s="20" t="n"/>
    </row>
    <row r="112">
      <c r="A112" s="20" t="n"/>
      <c r="B112" s="21" t="n"/>
      <c r="C112" s="20" t="n"/>
    </row>
    <row r="113">
      <c r="A113" s="20" t="n"/>
      <c r="B113" s="21" t="n"/>
      <c r="C113" s="20" t="n"/>
    </row>
    <row r="114">
      <c r="A114" s="20" t="n"/>
      <c r="B114" s="21" t="n"/>
      <c r="C114" s="20" t="n"/>
    </row>
    <row r="115">
      <c r="A115" s="20" t="n"/>
      <c r="B115" s="21" t="n"/>
      <c r="C115" s="20" t="n"/>
    </row>
    <row r="116">
      <c r="A116" s="20" t="n"/>
      <c r="B116" s="21" t="n"/>
      <c r="C116" s="20" t="n"/>
    </row>
    <row r="117">
      <c r="A117" s="20" t="n"/>
      <c r="B117" s="21" t="n"/>
      <c r="C117" s="20" t="n"/>
    </row>
    <row r="118">
      <c r="A118" s="20" t="n"/>
      <c r="B118" s="21" t="n"/>
      <c r="C118" s="20" t="n"/>
    </row>
    <row r="119">
      <c r="A119" s="20" t="n"/>
      <c r="B119" s="21" t="n"/>
      <c r="C119" s="20" t="n"/>
    </row>
    <row r="120">
      <c r="A120" s="20" t="n"/>
      <c r="B120" s="21" t="n"/>
      <c r="C120" s="20" t="n"/>
    </row>
    <row r="121">
      <c r="A121" s="20" t="n"/>
      <c r="B121" s="21" t="n"/>
      <c r="C121" s="20" t="n"/>
    </row>
    <row r="122">
      <c r="A122" s="20" t="n"/>
      <c r="B122" s="21" t="n"/>
      <c r="C122" s="20" t="n"/>
    </row>
    <row r="123">
      <c r="A123" s="20" t="n"/>
      <c r="B123" s="21" t="n"/>
      <c r="C123" s="20" t="n"/>
    </row>
    <row r="124">
      <c r="A124" s="20" t="n"/>
      <c r="B124" s="21" t="n"/>
      <c r="C124" s="20" t="n"/>
    </row>
    <row r="125">
      <c r="A125" s="20" t="n"/>
      <c r="B125" s="21" t="n"/>
      <c r="C125" s="20" t="n"/>
    </row>
    <row r="126">
      <c r="A126" s="20" t="n"/>
      <c r="B126" s="21" t="n"/>
      <c r="C126" s="20" t="n"/>
    </row>
    <row r="127">
      <c r="A127" s="20" t="n"/>
      <c r="B127" s="21" t="n"/>
      <c r="C127" s="20" t="n"/>
    </row>
    <row r="128">
      <c r="A128" s="20" t="n"/>
      <c r="B128" s="21" t="n"/>
      <c r="C128" s="20" t="n"/>
    </row>
    <row r="129">
      <c r="A129" s="20" t="n"/>
      <c r="B129" s="21" t="n"/>
      <c r="C129" s="20" t="n"/>
    </row>
    <row r="130">
      <c r="A130" s="20" t="n"/>
      <c r="B130" s="21" t="n"/>
      <c r="C130" s="20" t="n"/>
    </row>
    <row r="131">
      <c r="A131" s="20" t="n"/>
      <c r="B131" s="21" t="n"/>
      <c r="C131" s="20" t="n"/>
    </row>
    <row r="132">
      <c r="A132" s="20" t="n"/>
      <c r="B132" s="21" t="n"/>
      <c r="C132" s="20" t="n"/>
    </row>
    <row r="133">
      <c r="A133" s="20" t="n"/>
      <c r="B133" s="21" t="n"/>
      <c r="C133" s="20" t="n"/>
    </row>
    <row r="134">
      <c r="A134" s="20" t="n"/>
      <c r="B134" s="21" t="n"/>
      <c r="C134" s="20" t="n"/>
    </row>
    <row r="135">
      <c r="A135" s="20" t="n"/>
      <c r="B135" s="21" t="n"/>
      <c r="C135" s="20" t="n"/>
    </row>
    <row r="136">
      <c r="A136" s="20" t="n"/>
      <c r="B136" s="21" t="n"/>
      <c r="C136" s="20" t="n"/>
    </row>
    <row r="137">
      <c r="A137" s="20" t="n"/>
      <c r="B137" s="21" t="n"/>
      <c r="C137" s="20" t="n"/>
    </row>
    <row r="138">
      <c r="A138" s="20" t="n"/>
      <c r="B138" s="21" t="n"/>
      <c r="C138" s="20" t="n"/>
    </row>
    <row r="139">
      <c r="A139" s="20" t="n"/>
      <c r="B139" s="21" t="n"/>
      <c r="C139" s="20" t="n"/>
    </row>
    <row r="140">
      <c r="A140" s="20" t="n"/>
      <c r="B140" s="21" t="n"/>
      <c r="C140" s="20" t="n"/>
    </row>
    <row r="141">
      <c r="A141" s="20" t="n"/>
      <c r="B141" s="21" t="n"/>
      <c r="C141" s="20" t="n"/>
    </row>
    <row r="142">
      <c r="A142" s="20" t="n"/>
      <c r="B142" s="21" t="n"/>
      <c r="C142" s="20" t="n"/>
    </row>
    <row r="143">
      <c r="A143" s="20" t="n"/>
      <c r="B143" s="21" t="n"/>
      <c r="C143" s="20" t="n"/>
    </row>
    <row r="144">
      <c r="A144" s="20" t="n"/>
      <c r="B144" s="21" t="n"/>
      <c r="C144" s="20" t="n"/>
    </row>
    <row r="145">
      <c r="A145" s="20" t="n"/>
      <c r="B145" s="21" t="n"/>
      <c r="C145" s="20" t="n"/>
    </row>
    <row r="146">
      <c r="A146" s="20" t="n"/>
      <c r="B146" s="21" t="n"/>
      <c r="C146" s="20" t="n"/>
    </row>
    <row r="147">
      <c r="A147" s="20" t="n"/>
      <c r="B147" s="21" t="n"/>
      <c r="C147" s="20" t="n"/>
    </row>
    <row r="148">
      <c r="A148" s="20" t="n"/>
      <c r="B148" s="21" t="n"/>
      <c r="C148" s="20" t="n"/>
    </row>
    <row r="149">
      <c r="A149" s="20" t="n"/>
      <c r="B149" s="21" t="n"/>
      <c r="C149" s="20" t="n"/>
    </row>
    <row r="150">
      <c r="A150" s="20" t="n"/>
      <c r="B150" s="21" t="n"/>
      <c r="C150" s="20" t="n"/>
    </row>
    <row r="151">
      <c r="A151" s="20" t="n"/>
      <c r="B151" s="21" t="n"/>
      <c r="C151" s="20" t="n"/>
    </row>
    <row r="152">
      <c r="A152" s="20" t="n"/>
      <c r="B152" s="21" t="n"/>
      <c r="C152" s="20" t="n"/>
    </row>
    <row r="153">
      <c r="A153" s="20" t="n"/>
      <c r="B153" s="21" t="n"/>
      <c r="C153" s="20" t="n"/>
    </row>
    <row r="154">
      <c r="A154" s="20" t="n"/>
      <c r="B154" s="21" t="n"/>
      <c r="C154" s="20" t="n"/>
    </row>
    <row r="155">
      <c r="A155" s="20" t="n"/>
      <c r="B155" s="21" t="n"/>
      <c r="C155" s="20" t="n"/>
    </row>
    <row r="156">
      <c r="A156" s="20" t="n"/>
      <c r="B156" s="21" t="n"/>
      <c r="C156" s="20" t="n"/>
    </row>
    <row r="157">
      <c r="A157" s="20" t="n"/>
      <c r="B157" s="21" t="n"/>
      <c r="C157" s="20" t="n"/>
    </row>
    <row r="158">
      <c r="A158" s="20" t="n"/>
      <c r="B158" s="21" t="n"/>
      <c r="C158" s="20" t="n"/>
    </row>
    <row r="159">
      <c r="A159" s="20" t="n"/>
      <c r="B159" s="21" t="n"/>
      <c r="C159" s="20" t="n"/>
    </row>
    <row r="160">
      <c r="A160" s="20" t="n"/>
      <c r="B160" s="21" t="n"/>
      <c r="C160" s="20" t="n"/>
    </row>
    <row r="161">
      <c r="A161" s="20" t="n"/>
      <c r="B161" s="21" t="n"/>
      <c r="C161" s="20" t="n"/>
    </row>
    <row r="162">
      <c r="A162" s="20" t="n"/>
      <c r="B162" s="21" t="n"/>
      <c r="C162" s="20" t="n"/>
    </row>
    <row r="163">
      <c r="A163" s="20" t="n"/>
      <c r="B163" s="21" t="n"/>
      <c r="C163" s="20" t="n"/>
    </row>
    <row r="164">
      <c r="A164" s="20" t="n"/>
      <c r="B164" s="21" t="n"/>
      <c r="C164" s="20" t="n"/>
    </row>
    <row r="165">
      <c r="A165" s="20" t="n"/>
      <c r="B165" s="21" t="n"/>
      <c r="C165" s="20" t="n"/>
    </row>
    <row r="166">
      <c r="A166" s="20" t="n"/>
      <c r="B166" s="21" t="n"/>
      <c r="C166" s="20" t="n"/>
    </row>
    <row r="167">
      <c r="A167" s="20" t="n"/>
      <c r="B167" s="21" t="n"/>
      <c r="C167" s="20" t="n"/>
    </row>
    <row r="168">
      <c r="A168" s="20" t="n"/>
      <c r="B168" s="21" t="n"/>
      <c r="C168" s="20" t="n"/>
    </row>
    <row r="169">
      <c r="A169" s="20" t="n"/>
      <c r="B169" s="21" t="n"/>
      <c r="C169" s="20" t="n"/>
    </row>
    <row r="170">
      <c r="A170" s="20" t="n"/>
      <c r="B170" s="21" t="n"/>
      <c r="C170" s="20" t="n"/>
    </row>
    <row r="171">
      <c r="A171" s="20" t="n"/>
      <c r="B171" s="21" t="n"/>
      <c r="C171" s="20" t="n"/>
    </row>
    <row r="172">
      <c r="A172" s="20" t="n"/>
      <c r="B172" s="21" t="n"/>
      <c r="C172" s="20" t="n"/>
    </row>
    <row r="173">
      <c r="A173" s="20" t="n"/>
      <c r="B173" s="21" t="n"/>
      <c r="C173" s="20" t="n"/>
    </row>
    <row r="174">
      <c r="A174" s="20" t="n"/>
      <c r="B174" s="21" t="n"/>
      <c r="C174" s="20" t="n"/>
    </row>
    <row r="175">
      <c r="A175" s="20" t="n"/>
      <c r="B175" s="21" t="n"/>
      <c r="C175" s="20" t="n"/>
    </row>
    <row r="176">
      <c r="A176" s="20" t="n"/>
      <c r="B176" s="21" t="n"/>
      <c r="C176" s="20" t="n"/>
    </row>
    <row r="177">
      <c r="A177" s="20" t="n"/>
      <c r="B177" s="21" t="n"/>
      <c r="C177" s="20" t="n"/>
    </row>
    <row r="178">
      <c r="A178" s="20" t="n"/>
      <c r="B178" s="21" t="n"/>
      <c r="C178" s="20" t="n"/>
    </row>
    <row r="179">
      <c r="A179" s="20" t="n"/>
      <c r="B179" s="21" t="n"/>
      <c r="C179" s="20" t="n"/>
    </row>
    <row r="180">
      <c r="A180" s="20" t="n"/>
      <c r="B180" s="21" t="n"/>
      <c r="C180" s="20" t="n"/>
    </row>
    <row r="181">
      <c r="A181" s="20" t="n"/>
      <c r="B181" s="21" t="n"/>
      <c r="C181" s="20" t="n"/>
    </row>
    <row r="182">
      <c r="A182" s="20" t="n"/>
      <c r="B182" s="21" t="n"/>
      <c r="C182" s="20" t="n"/>
    </row>
    <row r="183">
      <c r="A183" s="20" t="n"/>
      <c r="B183" s="21" t="n"/>
      <c r="C183" s="20" t="n"/>
    </row>
    <row r="184">
      <c r="A184" s="20" t="n"/>
      <c r="B184" s="21" t="n"/>
      <c r="C184" s="20" t="n"/>
    </row>
    <row r="185">
      <c r="A185" s="20" t="n"/>
      <c r="B185" s="21" t="n"/>
      <c r="C185" s="20" t="n"/>
    </row>
    <row r="186">
      <c r="A186" s="20" t="n"/>
      <c r="B186" s="21" t="n"/>
      <c r="C186" s="20" t="n"/>
    </row>
    <row r="187">
      <c r="A187" s="20" t="n"/>
      <c r="B187" s="21" t="n"/>
      <c r="C187" s="20" t="n"/>
    </row>
    <row r="188">
      <c r="A188" s="20" t="n"/>
      <c r="B188" s="21" t="n"/>
      <c r="C188" s="20" t="n"/>
    </row>
    <row r="189">
      <c r="A189" s="20" t="n"/>
      <c r="B189" s="21" t="n"/>
      <c r="C189" s="20" t="n"/>
    </row>
    <row r="190">
      <c r="A190" s="20" t="n"/>
      <c r="B190" s="21" t="n"/>
      <c r="C190" s="20" t="n"/>
    </row>
    <row r="191">
      <c r="A191" s="20" t="n"/>
      <c r="B191" s="21" t="n"/>
      <c r="C191" s="20" t="n"/>
    </row>
    <row r="192">
      <c r="A192" s="20" t="n"/>
      <c r="B192" s="21" t="n"/>
      <c r="C192" s="20" t="n"/>
    </row>
    <row r="193">
      <c r="A193" s="20" t="n"/>
      <c r="B193" s="21" t="n"/>
      <c r="C193" s="20" t="n"/>
    </row>
    <row r="194">
      <c r="A194" s="20" t="n"/>
      <c r="B194" s="21" t="n"/>
      <c r="C194" s="20" t="n"/>
    </row>
    <row r="195">
      <c r="A195" s="20" t="n"/>
      <c r="B195" s="21" t="n"/>
      <c r="C195" s="20" t="n"/>
    </row>
    <row r="196">
      <c r="A196" s="20" t="n"/>
      <c r="B196" s="21" t="n"/>
      <c r="C196" s="20" t="n"/>
    </row>
    <row r="197">
      <c r="A197" s="20" t="n"/>
      <c r="B197" s="21" t="n"/>
      <c r="C197" s="20" t="n"/>
    </row>
    <row r="198">
      <c r="A198" s="20" t="n"/>
      <c r="B198" s="21" t="n"/>
      <c r="C198" s="20" t="n"/>
    </row>
    <row r="199">
      <c r="A199" s="20" t="n"/>
      <c r="B199" s="21" t="n"/>
      <c r="C199" s="20" t="n"/>
    </row>
    <row r="200">
      <c r="A200" s="20" t="n"/>
      <c r="B200" s="21" t="n"/>
      <c r="C200" s="20" t="n"/>
    </row>
    <row r="201">
      <c r="A201" s="20" t="n"/>
      <c r="B201" s="21" t="n"/>
      <c r="C201" s="20" t="n"/>
    </row>
    <row r="202">
      <c r="A202" s="20" t="n"/>
      <c r="B202" s="21" t="n"/>
      <c r="C202" s="20" t="n"/>
    </row>
    <row r="203">
      <c r="A203" s="20" t="n"/>
      <c r="B203" s="21" t="n"/>
      <c r="C203" s="20" t="n"/>
    </row>
    <row r="204">
      <c r="A204" s="20" t="n"/>
      <c r="B204" s="21" t="n"/>
      <c r="C204" s="20" t="n"/>
    </row>
    <row r="205">
      <c r="A205" s="20" t="n"/>
      <c r="B205" s="21" t="n"/>
      <c r="C205" s="20" t="n"/>
    </row>
    <row r="206">
      <c r="A206" s="20" t="n"/>
      <c r="B206" s="21" t="n"/>
      <c r="C206" s="20" t="n"/>
    </row>
    <row r="207">
      <c r="A207" s="20" t="n"/>
      <c r="B207" s="21" t="n"/>
      <c r="C207" s="20" t="n"/>
    </row>
    <row r="208">
      <c r="A208" s="20" t="n"/>
      <c r="B208" s="21" t="n"/>
      <c r="C208" s="20" t="n"/>
    </row>
    <row r="209">
      <c r="A209" s="20" t="n"/>
      <c r="B209" s="21" t="n"/>
      <c r="C209" s="20" t="n"/>
    </row>
    <row r="210">
      <c r="A210" s="20" t="n"/>
      <c r="B210" s="21" t="n"/>
      <c r="C210" s="20" t="n"/>
    </row>
    <row r="211">
      <c r="A211" s="20" t="n"/>
      <c r="B211" s="21" t="n"/>
      <c r="C211" s="20" t="n"/>
    </row>
    <row r="212">
      <c r="A212" s="20" t="n"/>
      <c r="B212" s="21" t="n"/>
      <c r="C212" s="20" t="n"/>
    </row>
    <row r="213">
      <c r="A213" s="20" t="n"/>
      <c r="B213" s="21" t="n"/>
      <c r="C213" s="20" t="n"/>
    </row>
    <row r="214">
      <c r="A214" s="20" t="n"/>
      <c r="B214" s="21" t="n"/>
      <c r="C214" s="20" t="n"/>
    </row>
    <row r="215">
      <c r="A215" s="20" t="n"/>
      <c r="B215" s="21" t="n"/>
      <c r="C215" s="20" t="n"/>
    </row>
    <row r="216">
      <c r="A216" s="20" t="n"/>
      <c r="B216" s="21" t="n"/>
      <c r="C216" s="20" t="n"/>
    </row>
    <row r="217">
      <c r="A217" s="20" t="n"/>
      <c r="B217" s="21" t="n"/>
      <c r="C217" s="20" t="n"/>
    </row>
    <row r="218">
      <c r="A218" s="20" t="n"/>
      <c r="B218" s="21" t="n"/>
      <c r="C218" s="20" t="n"/>
    </row>
    <row r="219">
      <c r="A219" s="20" t="n"/>
      <c r="B219" s="21" t="n"/>
      <c r="C219" s="20" t="n"/>
    </row>
    <row r="220">
      <c r="A220" s="20" t="n"/>
      <c r="B220" s="21" t="n"/>
      <c r="C220" s="20" t="n"/>
    </row>
    <row r="221">
      <c r="A221" s="20" t="n"/>
      <c r="B221" s="21" t="n"/>
      <c r="C221" s="20" t="n"/>
    </row>
    <row r="222">
      <c r="A222" s="20" t="n"/>
      <c r="B222" s="21" t="n"/>
      <c r="C222" s="20" t="n"/>
    </row>
    <row r="223">
      <c r="A223" s="20" t="n"/>
      <c r="B223" s="21" t="n"/>
      <c r="C223" s="20" t="n"/>
    </row>
    <row r="224">
      <c r="A224" s="20" t="n"/>
      <c r="B224" s="21" t="n"/>
      <c r="C224" s="20" t="n"/>
    </row>
    <row r="225">
      <c r="A225" s="20" t="n"/>
      <c r="B225" s="21" t="n"/>
      <c r="C225" s="20" t="n"/>
    </row>
    <row r="226">
      <c r="A226" s="20" t="n"/>
      <c r="B226" s="21" t="n"/>
      <c r="C226" s="20" t="n"/>
    </row>
    <row r="227">
      <c r="A227" s="20" t="n"/>
      <c r="B227" s="21" t="n"/>
      <c r="C227" s="20" t="n"/>
    </row>
    <row r="228">
      <c r="A228" s="20" t="n"/>
      <c r="B228" s="21" t="n"/>
      <c r="C228" s="20" t="n"/>
    </row>
    <row r="229">
      <c r="A229" s="20" t="n"/>
      <c r="B229" s="21" t="n"/>
      <c r="C229" s="20" t="n"/>
    </row>
    <row r="230">
      <c r="A230" s="20" t="n"/>
      <c r="B230" s="21" t="n"/>
      <c r="C230" s="20" t="n"/>
    </row>
    <row r="231">
      <c r="A231" s="20" t="n"/>
      <c r="B231" s="21" t="n"/>
      <c r="C231" s="20" t="n"/>
    </row>
    <row r="232">
      <c r="A232" s="20" t="n"/>
      <c r="B232" s="21" t="n"/>
      <c r="C232" s="20" t="n"/>
    </row>
    <row r="233">
      <c r="A233" s="20" t="n"/>
      <c r="B233" s="21" t="n"/>
      <c r="C233" s="20" t="n"/>
    </row>
    <row r="234">
      <c r="A234" s="20" t="n"/>
      <c r="B234" s="21" t="n"/>
      <c r="C234" s="20" t="n"/>
    </row>
    <row r="235">
      <c r="A235" s="20" t="n"/>
      <c r="B235" s="21" t="n"/>
      <c r="C235" s="20" t="n"/>
    </row>
    <row r="236">
      <c r="A236" s="20" t="n"/>
      <c r="B236" s="21" t="n"/>
      <c r="C236" s="20" t="n"/>
    </row>
    <row r="237">
      <c r="A237" s="20" t="n"/>
      <c r="B237" s="21" t="n"/>
      <c r="C237" s="20" t="n"/>
    </row>
    <row r="238">
      <c r="A238" s="20" t="n"/>
      <c r="B238" s="21" t="n"/>
      <c r="C238" s="20" t="n"/>
    </row>
    <row r="239">
      <c r="A239" s="20" t="n"/>
      <c r="B239" s="21" t="n"/>
      <c r="C239" s="20" t="n"/>
    </row>
    <row r="240">
      <c r="A240" s="20" t="n"/>
      <c r="B240" s="21" t="n"/>
      <c r="C240" s="20" t="n"/>
    </row>
    <row r="241">
      <c r="A241" s="20" t="n"/>
      <c r="B241" s="21" t="n"/>
      <c r="C241" s="20" t="n"/>
    </row>
    <row r="242">
      <c r="A242" s="20" t="n"/>
      <c r="B242" s="21" t="n"/>
      <c r="C242" s="20" t="n"/>
    </row>
    <row r="243">
      <c r="A243" s="20" t="n"/>
      <c r="B243" s="21" t="n"/>
      <c r="C243" s="20" t="n"/>
    </row>
    <row r="244">
      <c r="A244" s="20" t="n"/>
      <c r="B244" s="21" t="n"/>
      <c r="C244" s="20" t="n"/>
    </row>
    <row r="245">
      <c r="A245" s="20" t="n"/>
      <c r="B245" s="21" t="n"/>
      <c r="C245" s="20" t="n"/>
    </row>
    <row r="246">
      <c r="A246" s="20" t="n"/>
      <c r="B246" s="21" t="n"/>
      <c r="C246" s="20" t="n"/>
    </row>
    <row r="247">
      <c r="A247" s="20" t="n"/>
      <c r="B247" s="21" t="n"/>
      <c r="C247" s="20" t="n"/>
    </row>
    <row r="248">
      <c r="A248" s="20" t="n"/>
      <c r="B248" s="21" t="n"/>
      <c r="C248" s="20" t="n"/>
    </row>
    <row r="249">
      <c r="A249" s="20" t="n"/>
      <c r="B249" s="21" t="n"/>
      <c r="C249" s="20" t="n"/>
    </row>
    <row r="250">
      <c r="A250" s="20" t="n"/>
      <c r="B250" s="21" t="n"/>
      <c r="C250" s="20" t="n"/>
    </row>
    <row r="251">
      <c r="A251" s="20" t="n"/>
      <c r="B251" s="21" t="n"/>
      <c r="C251" s="20" t="n"/>
    </row>
    <row r="252">
      <c r="A252" s="20" t="n"/>
      <c r="B252" s="21" t="n"/>
      <c r="C252" s="20" t="n"/>
    </row>
    <row r="253">
      <c r="A253" s="20" t="n"/>
      <c r="B253" s="21" t="n"/>
      <c r="C253" s="20" t="n"/>
    </row>
    <row r="254">
      <c r="A254" s="20" t="n"/>
      <c r="B254" s="21" t="n"/>
      <c r="C254" s="20" t="n"/>
    </row>
    <row r="255">
      <c r="A255" s="20" t="n"/>
      <c r="B255" s="21" t="n"/>
      <c r="C255" s="20" t="n"/>
    </row>
    <row r="256">
      <c r="A256" s="20" t="n"/>
      <c r="B256" s="21" t="n"/>
      <c r="C256" s="20" t="n"/>
    </row>
    <row r="257">
      <c r="A257" s="20" t="n"/>
      <c r="B257" s="21" t="n"/>
      <c r="C257" s="20" t="n"/>
    </row>
    <row r="258">
      <c r="A258" s="20" t="n"/>
      <c r="B258" s="21" t="n"/>
      <c r="C258" s="20" t="n"/>
    </row>
    <row r="259">
      <c r="A259" s="20" t="n"/>
      <c r="B259" s="21" t="n"/>
      <c r="C259" s="20" t="n"/>
    </row>
    <row r="260">
      <c r="A260" s="20" t="n"/>
      <c r="B260" s="21" t="n"/>
      <c r="C260" s="20" t="n"/>
    </row>
    <row r="261">
      <c r="A261" s="20" t="n"/>
      <c r="B261" s="21" t="n"/>
      <c r="C261" s="20" t="n"/>
    </row>
    <row r="262">
      <c r="A262" s="20" t="n"/>
      <c r="B262" s="21" t="n"/>
      <c r="C262" s="20" t="n"/>
    </row>
    <row r="263">
      <c r="A263" s="20" t="n"/>
      <c r="B263" s="21" t="n"/>
      <c r="C263" s="20" t="n"/>
    </row>
    <row r="264">
      <c r="A264" s="20" t="n"/>
      <c r="B264" s="21" t="n"/>
      <c r="C264" s="20" t="n"/>
    </row>
    <row r="265">
      <c r="A265" s="20" t="n"/>
      <c r="B265" s="21" t="n"/>
      <c r="C265" s="20" t="n"/>
    </row>
    <row r="266">
      <c r="A266" s="20" t="n"/>
      <c r="B266" s="21" t="n"/>
      <c r="C266" s="20" t="n"/>
    </row>
    <row r="267">
      <c r="A267" s="20" t="n"/>
      <c r="B267" s="21" t="n"/>
      <c r="C267" s="20" t="n"/>
    </row>
    <row r="268">
      <c r="A268" s="20" t="n"/>
      <c r="B268" s="21" t="n"/>
      <c r="C268" s="20" t="n"/>
    </row>
    <row r="269">
      <c r="A269" s="20" t="n"/>
      <c r="B269" s="21" t="n"/>
      <c r="C269" s="20" t="n"/>
    </row>
    <row r="270">
      <c r="A270" s="20" t="n"/>
      <c r="B270" s="21" t="n"/>
      <c r="C270" s="20" t="n"/>
    </row>
    <row r="271">
      <c r="A271" s="20" t="n"/>
      <c r="B271" s="21" t="n"/>
      <c r="C271" s="20" t="n"/>
    </row>
    <row r="272">
      <c r="A272" s="20" t="n"/>
      <c r="B272" s="21" t="n"/>
      <c r="C272" s="20" t="n"/>
    </row>
    <row r="273">
      <c r="A273" s="20" t="n"/>
      <c r="B273" s="21" t="n"/>
      <c r="C273" s="20" t="n"/>
    </row>
    <row r="274">
      <c r="A274" s="20" t="n"/>
      <c r="B274" s="21" t="n"/>
      <c r="C274" s="20" t="n"/>
    </row>
    <row r="275">
      <c r="A275" s="20" t="n"/>
      <c r="B275" s="21" t="n"/>
      <c r="C275" s="20" t="n"/>
    </row>
    <row r="276">
      <c r="A276" s="20" t="n"/>
      <c r="B276" s="21" t="n"/>
      <c r="C276" s="20" t="n"/>
    </row>
    <row r="277">
      <c r="A277" s="20" t="n"/>
      <c r="B277" s="21" t="n"/>
      <c r="C277" s="20" t="n"/>
    </row>
    <row r="278">
      <c r="A278" s="20" t="n"/>
      <c r="B278" s="21" t="n"/>
      <c r="C278" s="20" t="n"/>
    </row>
    <row r="279">
      <c r="A279" s="20" t="n"/>
      <c r="B279" s="21" t="n"/>
      <c r="C279" s="20" t="n"/>
    </row>
    <row r="280">
      <c r="A280" s="20" t="n"/>
      <c r="B280" s="21" t="n"/>
      <c r="C280" s="20" t="n"/>
    </row>
    <row r="281">
      <c r="A281" s="20" t="n"/>
      <c r="B281" s="21" t="n"/>
      <c r="C281" s="20" t="n"/>
    </row>
    <row r="282">
      <c r="A282" s="20" t="n"/>
      <c r="B282" s="21" t="n"/>
      <c r="C282" s="20" t="n"/>
    </row>
    <row r="283">
      <c r="A283" s="20" t="n"/>
      <c r="B283" s="21" t="n"/>
      <c r="C283" s="20" t="n"/>
    </row>
    <row r="284">
      <c r="A284" s="20" t="n"/>
      <c r="B284" s="21" t="n"/>
      <c r="C284" s="20" t="n"/>
    </row>
    <row r="285">
      <c r="A285" s="20" t="n"/>
      <c r="B285" s="21" t="n"/>
      <c r="C285" s="20" t="n"/>
    </row>
    <row r="286">
      <c r="A286" s="20" t="n"/>
      <c r="B286" s="21" t="n"/>
      <c r="C286" s="20" t="n"/>
    </row>
    <row r="287">
      <c r="A287" s="20" t="n"/>
      <c r="B287" s="21" t="n"/>
      <c r="C287" s="20" t="n"/>
    </row>
    <row r="288">
      <c r="A288" s="20" t="n"/>
      <c r="B288" s="21" t="n"/>
      <c r="C288" s="20" t="n"/>
    </row>
    <row r="289">
      <c r="A289" s="20" t="n"/>
      <c r="B289" s="21" t="n"/>
      <c r="C289" s="20" t="n"/>
    </row>
    <row r="290">
      <c r="A290" s="20" t="n"/>
      <c r="B290" s="21" t="n"/>
      <c r="C290" s="20" t="n"/>
    </row>
    <row r="291">
      <c r="A291" s="20" t="n"/>
      <c r="B291" s="21" t="n"/>
      <c r="C291" s="20" t="n"/>
    </row>
    <row r="292">
      <c r="A292" s="20" t="n"/>
      <c r="B292" s="21" t="n"/>
      <c r="C292" s="20" t="n"/>
    </row>
    <row r="293">
      <c r="A293" s="20" t="n"/>
      <c r="B293" s="21" t="n"/>
      <c r="C293" s="20" t="n"/>
    </row>
    <row r="294">
      <c r="A294" s="20" t="n"/>
      <c r="B294" s="21" t="n"/>
      <c r="C294" s="20" t="n"/>
    </row>
    <row r="295">
      <c r="A295" s="20" t="n"/>
      <c r="B295" s="21" t="n"/>
      <c r="C295" s="20" t="n"/>
    </row>
    <row r="296">
      <c r="A296" s="20" t="n"/>
      <c r="B296" s="21" t="n"/>
      <c r="C296" s="20" t="n"/>
    </row>
    <row r="297">
      <c r="A297" s="20" t="n"/>
      <c r="B297" s="21" t="n"/>
      <c r="C297" s="20" t="n"/>
    </row>
    <row r="298">
      <c r="A298" s="20" t="n"/>
      <c r="B298" s="21" t="n"/>
      <c r="C298" s="20" t="n"/>
    </row>
    <row r="299">
      <c r="A299" s="20" t="n"/>
      <c r="B299" s="21" t="n"/>
      <c r="C299" s="20" t="n"/>
    </row>
    <row r="300">
      <c r="A300" s="20" t="n"/>
      <c r="B300" s="21" t="n"/>
      <c r="C300" s="20" t="n"/>
    </row>
    <row r="301">
      <c r="A301" s="20" t="n"/>
      <c r="B301" s="21" t="n"/>
      <c r="C301" s="20" t="n"/>
    </row>
    <row r="302">
      <c r="A302" s="20" t="n"/>
      <c r="B302" s="21" t="n"/>
      <c r="C302" s="20" t="n"/>
    </row>
    <row r="303">
      <c r="A303" s="20" t="n"/>
      <c r="B303" s="21" t="n"/>
      <c r="C303" s="20" t="n"/>
    </row>
    <row r="304">
      <c r="A304" s="20" t="n"/>
      <c r="B304" s="21" t="n"/>
      <c r="C304" s="20" t="n"/>
    </row>
    <row r="305">
      <c r="A305" s="20" t="n"/>
      <c r="B305" s="21" t="n"/>
      <c r="C305" s="20" t="n"/>
    </row>
    <row r="306">
      <c r="A306" s="20" t="n"/>
      <c r="B306" s="21" t="n"/>
      <c r="C306" s="20" t="n"/>
    </row>
    <row r="307">
      <c r="A307" s="20" t="n"/>
      <c r="B307" s="21" t="n"/>
      <c r="C307" s="20" t="n"/>
    </row>
    <row r="308">
      <c r="A308" s="20" t="n"/>
      <c r="B308" s="21" t="n"/>
      <c r="C308" s="20" t="n"/>
    </row>
    <row r="309">
      <c r="A309" s="20" t="n"/>
      <c r="B309" s="21" t="n"/>
      <c r="C309" s="20" t="n"/>
    </row>
    <row r="310">
      <c r="A310" s="20" t="n"/>
      <c r="B310" s="21" t="n"/>
      <c r="C310" s="20" t="n"/>
    </row>
    <row r="311">
      <c r="A311" s="20" t="n"/>
      <c r="B311" s="21" t="n"/>
      <c r="C311" s="20" t="n"/>
    </row>
    <row r="312">
      <c r="A312" s="20" t="n"/>
      <c r="B312" s="21" t="n"/>
      <c r="C312" s="20" t="n"/>
    </row>
    <row r="313">
      <c r="A313" s="20" t="n"/>
      <c r="B313" s="21" t="n"/>
      <c r="C313" s="20" t="n"/>
    </row>
    <row r="314">
      <c r="A314" s="20" t="n"/>
      <c r="B314" s="21" t="n"/>
      <c r="C314" s="20" t="n"/>
    </row>
    <row r="315">
      <c r="A315" s="20" t="n"/>
      <c r="B315" s="21" t="n"/>
      <c r="C315" s="20" t="n"/>
    </row>
    <row r="316">
      <c r="A316" s="20" t="n"/>
      <c r="B316" s="21" t="n"/>
      <c r="C316" s="20" t="n"/>
    </row>
    <row r="317">
      <c r="A317" s="20" t="n"/>
      <c r="B317" s="21" t="n"/>
      <c r="C317" s="20" t="n"/>
    </row>
    <row r="318">
      <c r="A318" s="20" t="n"/>
      <c r="B318" s="21" t="n"/>
      <c r="C318" s="20" t="n"/>
    </row>
    <row r="319">
      <c r="A319" s="20" t="n"/>
      <c r="B319" s="21" t="n"/>
      <c r="C319" s="20" t="n"/>
    </row>
    <row r="320">
      <c r="A320" s="20" t="n"/>
      <c r="B320" s="21" t="n"/>
      <c r="C320" s="20" t="n"/>
    </row>
    <row r="321">
      <c r="A321" s="20" t="n"/>
      <c r="B321" s="21" t="n"/>
      <c r="C321" s="20" t="n"/>
    </row>
    <row r="322">
      <c r="A322" s="20" t="n"/>
      <c r="B322" s="21" t="n"/>
      <c r="C322" s="20" t="n"/>
    </row>
    <row r="323">
      <c r="A323" s="20" t="n"/>
      <c r="B323" s="21" t="n"/>
      <c r="C323" s="20" t="n"/>
    </row>
    <row r="324">
      <c r="A324" s="20" t="n"/>
      <c r="B324" s="21" t="n"/>
      <c r="C324" s="20" t="n"/>
    </row>
    <row r="325">
      <c r="A325" s="20" t="n"/>
      <c r="B325" s="21" t="n"/>
      <c r="C325" s="20" t="n"/>
    </row>
    <row r="326">
      <c r="A326" s="20" t="n"/>
      <c r="B326" s="21" t="n"/>
      <c r="C326" s="20" t="n"/>
    </row>
    <row r="327">
      <c r="A327" s="20" t="n"/>
      <c r="B327" s="21" t="n"/>
      <c r="C327" s="20" t="n"/>
    </row>
    <row r="328">
      <c r="A328" s="20" t="n"/>
      <c r="B328" s="21" t="n"/>
      <c r="C328" s="20" t="n"/>
    </row>
    <row r="329">
      <c r="A329" s="20" t="n"/>
      <c r="B329" s="21" t="n"/>
      <c r="C329" s="20" t="n"/>
    </row>
    <row r="330">
      <c r="A330" s="20" t="n"/>
      <c r="B330" s="21" t="n"/>
      <c r="C330" s="20" t="n"/>
    </row>
    <row r="331">
      <c r="A331" s="20" t="n"/>
      <c r="B331" s="21" t="n"/>
      <c r="C331" s="20" t="n"/>
    </row>
    <row r="332">
      <c r="A332" s="20" t="n"/>
      <c r="B332" s="21" t="n"/>
      <c r="C332" s="20" t="n"/>
    </row>
    <row r="333">
      <c r="A333" s="20" t="n"/>
      <c r="B333" s="21" t="n"/>
      <c r="C333" s="20" t="n"/>
    </row>
    <row r="334">
      <c r="A334" s="20" t="n"/>
      <c r="B334" s="21" t="n"/>
      <c r="C334" s="20" t="n"/>
    </row>
    <row r="335">
      <c r="A335" s="20" t="n"/>
      <c r="B335" s="21" t="n"/>
      <c r="C335" s="20" t="n"/>
    </row>
    <row r="336">
      <c r="A336" s="20" t="n"/>
      <c r="B336" s="21" t="n"/>
      <c r="C336" s="20" t="n"/>
    </row>
    <row r="337">
      <c r="A337" s="20" t="n"/>
      <c r="B337" s="21" t="n"/>
      <c r="C337" s="20" t="n"/>
    </row>
    <row r="338">
      <c r="A338" s="20" t="n"/>
      <c r="B338" s="21" t="n"/>
      <c r="C338" s="20" t="n"/>
    </row>
    <row r="339">
      <c r="A339" s="20" t="n"/>
      <c r="B339" s="21" t="n"/>
      <c r="C339" s="20" t="n"/>
    </row>
    <row r="340">
      <c r="A340" s="20" t="n"/>
      <c r="B340" s="21" t="n"/>
      <c r="C340" s="20" t="n"/>
    </row>
    <row r="341">
      <c r="A341" s="20" t="n"/>
      <c r="B341" s="21" t="n"/>
      <c r="C341" s="20" t="n"/>
    </row>
    <row r="342">
      <c r="A342" s="20" t="n"/>
      <c r="B342" s="21" t="n"/>
      <c r="C342" s="20" t="n"/>
    </row>
    <row r="343">
      <c r="A343" s="20" t="n"/>
      <c r="B343" s="21" t="n"/>
      <c r="C343" s="20" t="n"/>
    </row>
    <row r="344">
      <c r="A344" s="20" t="n"/>
      <c r="B344" s="21" t="n"/>
      <c r="C344" s="20" t="n"/>
    </row>
    <row r="345">
      <c r="A345" s="20" t="n"/>
      <c r="B345" s="21" t="n"/>
      <c r="C345" s="20" t="n"/>
    </row>
    <row r="346">
      <c r="A346" s="20" t="n"/>
      <c r="B346" s="21" t="n"/>
      <c r="C346" s="20" t="n"/>
    </row>
    <row r="347">
      <c r="A347" s="20" t="n"/>
      <c r="B347" s="21" t="n"/>
      <c r="C347" s="20" t="n"/>
    </row>
    <row r="348">
      <c r="A348" s="20" t="n"/>
      <c r="B348" s="21" t="n"/>
      <c r="C348" s="20" t="n"/>
    </row>
    <row r="349">
      <c r="A349" s="20" t="n"/>
      <c r="B349" s="21" t="n"/>
      <c r="C349" s="20" t="n"/>
    </row>
    <row r="350">
      <c r="A350" s="20" t="n"/>
      <c r="B350" s="21" t="n"/>
      <c r="C350" s="20" t="n"/>
    </row>
    <row r="351">
      <c r="A351" s="20" t="n"/>
      <c r="B351" s="21" t="n"/>
      <c r="C351" s="20" t="n"/>
    </row>
    <row r="352">
      <c r="A352" s="20" t="n"/>
      <c r="B352" s="21" t="n"/>
      <c r="C352" s="20" t="n"/>
    </row>
    <row r="353">
      <c r="A353" s="20" t="n"/>
      <c r="B353" s="21" t="n"/>
      <c r="C353" s="20" t="n"/>
    </row>
    <row r="354">
      <c r="A354" s="20" t="n"/>
      <c r="B354" s="21" t="n"/>
      <c r="C354" s="20" t="n"/>
    </row>
    <row r="355">
      <c r="A355" s="20" t="n"/>
      <c r="B355" s="21" t="n"/>
      <c r="C355" s="20" t="n"/>
    </row>
    <row r="356">
      <c r="A356" s="20" t="n"/>
      <c r="B356" s="21" t="n"/>
      <c r="C356" s="20" t="n"/>
    </row>
    <row r="357">
      <c r="A357" s="20" t="n"/>
      <c r="B357" s="21" t="n"/>
      <c r="C357" s="20" t="n"/>
    </row>
    <row r="358">
      <c r="A358" s="20" t="n"/>
      <c r="B358" s="21" t="n"/>
      <c r="C358" s="20" t="n"/>
    </row>
    <row r="359">
      <c r="A359" s="20" t="n"/>
      <c r="B359" s="21" t="n"/>
      <c r="C359" s="20" t="n"/>
    </row>
    <row r="360">
      <c r="A360" s="20" t="n"/>
      <c r="B360" s="21" t="n"/>
      <c r="C360" s="20" t="n"/>
    </row>
    <row r="361">
      <c r="A361" s="20" t="n"/>
      <c r="B361" s="21" t="n"/>
      <c r="C361" s="20" t="n"/>
    </row>
    <row r="362">
      <c r="A362" s="20" t="n"/>
      <c r="B362" s="21" t="n"/>
      <c r="C362" s="20" t="n"/>
    </row>
    <row r="363">
      <c r="A363" s="20" t="n"/>
      <c r="B363" s="21" t="n"/>
      <c r="C363" s="20" t="n"/>
    </row>
    <row r="364">
      <c r="A364" s="20" t="n"/>
      <c r="B364" s="21" t="n"/>
      <c r="C364" s="20" t="n"/>
    </row>
    <row r="365">
      <c r="A365" s="20" t="n"/>
      <c r="B365" s="21" t="n"/>
      <c r="C365" s="20" t="n"/>
    </row>
    <row r="366">
      <c r="A366" s="20" t="n"/>
      <c r="B366" s="21" t="n"/>
      <c r="C366" s="20" t="n"/>
    </row>
    <row r="367">
      <c r="A367" s="20" t="n"/>
      <c r="B367" s="21" t="n"/>
      <c r="C367" s="20" t="n"/>
    </row>
    <row r="368">
      <c r="A368" s="20" t="n"/>
      <c r="B368" s="21" t="n"/>
      <c r="C368" s="20" t="n"/>
    </row>
    <row r="369">
      <c r="A369" s="20" t="n"/>
      <c r="B369" s="21" t="n"/>
      <c r="C369" s="20" t="n"/>
    </row>
    <row r="370">
      <c r="A370" s="20" t="n"/>
      <c r="B370" s="21" t="n"/>
      <c r="C370" s="20" t="n"/>
    </row>
    <row r="371">
      <c r="A371" s="20" t="n"/>
      <c r="B371" s="21" t="n"/>
      <c r="C371" s="20" t="n"/>
    </row>
    <row r="372">
      <c r="A372" s="20" t="n"/>
      <c r="B372" s="21" t="n"/>
      <c r="C372" s="20" t="n"/>
    </row>
    <row r="373">
      <c r="A373" s="20" t="n"/>
      <c r="B373" s="21" t="n"/>
      <c r="C373" s="20" t="n"/>
    </row>
    <row r="374">
      <c r="A374" s="20" t="n"/>
      <c r="B374" s="21" t="n"/>
      <c r="C374" s="20" t="n"/>
    </row>
    <row r="375">
      <c r="A375" s="20" t="n"/>
      <c r="B375" s="21" t="n"/>
      <c r="C375" s="20" t="n"/>
    </row>
    <row r="376">
      <c r="A376" s="20" t="n"/>
      <c r="B376" s="21" t="n"/>
      <c r="C376" s="20" t="n"/>
    </row>
    <row r="377">
      <c r="A377" s="20" t="n"/>
      <c r="B377" s="21" t="n"/>
      <c r="C377" s="20" t="n"/>
    </row>
    <row r="378">
      <c r="A378" s="20" t="n"/>
      <c r="B378" s="21" t="n"/>
      <c r="C378" s="20" t="n"/>
    </row>
    <row r="379">
      <c r="A379" s="20" t="n"/>
      <c r="B379" s="21" t="n"/>
      <c r="C379" s="20" t="n"/>
    </row>
    <row r="380">
      <c r="A380" s="20" t="n"/>
      <c r="B380" s="21" t="n"/>
      <c r="C380" s="20" t="n"/>
    </row>
    <row r="381">
      <c r="A381" s="20" t="n"/>
      <c r="B381" s="21" t="n"/>
      <c r="C381" s="20" t="n"/>
    </row>
    <row r="382">
      <c r="A382" s="20" t="n"/>
      <c r="B382" s="21" t="n"/>
      <c r="C382" s="20" t="n"/>
    </row>
    <row r="383">
      <c r="A383" s="20" t="n"/>
      <c r="B383" s="21" t="n"/>
      <c r="C383" s="20" t="n"/>
    </row>
    <row r="384">
      <c r="A384" s="20" t="n"/>
      <c r="B384" s="21" t="n"/>
      <c r="C384" s="20" t="n"/>
    </row>
    <row r="385">
      <c r="A385" s="20" t="n"/>
      <c r="B385" s="21" t="n"/>
      <c r="C385" s="20" t="n"/>
    </row>
    <row r="386">
      <c r="A386" s="20" t="n"/>
      <c r="B386" s="21" t="n"/>
      <c r="C386" s="20" t="n"/>
    </row>
    <row r="387">
      <c r="A387" s="20" t="n"/>
      <c r="B387" s="21" t="n"/>
      <c r="C387" s="20" t="n"/>
    </row>
    <row r="388">
      <c r="A388" s="20" t="n"/>
      <c r="B388" s="21" t="n"/>
      <c r="C388" s="20" t="n"/>
    </row>
    <row r="389">
      <c r="A389" s="20" t="n"/>
      <c r="B389" s="21" t="n"/>
      <c r="C389" s="20" t="n"/>
    </row>
    <row r="390">
      <c r="A390" s="20" t="n"/>
      <c r="B390" s="21" t="n"/>
      <c r="C390" s="20" t="n"/>
    </row>
    <row r="391">
      <c r="A391" s="20" t="n"/>
      <c r="B391" s="21" t="n"/>
      <c r="C391" s="20" t="n"/>
    </row>
    <row r="392">
      <c r="A392" s="20" t="n"/>
      <c r="B392" s="21" t="n"/>
      <c r="C392" s="20" t="n"/>
    </row>
    <row r="393">
      <c r="A393" s="20" t="n"/>
      <c r="B393" s="21" t="n"/>
      <c r="C393" s="20" t="n"/>
    </row>
    <row r="394">
      <c r="A394" s="20" t="n"/>
      <c r="B394" s="21" t="n"/>
      <c r="C394" s="20" t="n"/>
    </row>
    <row r="395">
      <c r="A395" s="20" t="n"/>
      <c r="B395" s="21" t="n"/>
      <c r="C395" s="20" t="n"/>
    </row>
    <row r="396">
      <c r="A396" s="20" t="n"/>
      <c r="B396" s="21" t="n"/>
      <c r="C396" s="20" t="n"/>
    </row>
    <row r="397">
      <c r="A397" s="20" t="n"/>
      <c r="B397" s="21" t="n"/>
      <c r="C397" s="20" t="n"/>
    </row>
    <row r="398">
      <c r="A398" s="20" t="n"/>
      <c r="B398" s="21" t="n"/>
      <c r="C398" s="20" t="n"/>
    </row>
    <row r="399">
      <c r="A399" s="20" t="n"/>
      <c r="B399" s="21" t="n"/>
      <c r="C399" s="20" t="n"/>
    </row>
    <row r="400">
      <c r="A400" s="20" t="n"/>
      <c r="B400" s="21" t="n"/>
      <c r="C400" s="20" t="n"/>
    </row>
    <row r="401">
      <c r="A401" s="20" t="n"/>
      <c r="B401" s="21" t="n"/>
      <c r="C401" s="20" t="n"/>
    </row>
    <row r="402">
      <c r="A402" s="20" t="n"/>
      <c r="B402" s="21" t="n"/>
      <c r="C402" s="20" t="n"/>
    </row>
    <row r="403">
      <c r="A403" s="20" t="n"/>
      <c r="B403" s="21" t="n"/>
      <c r="C403" s="20" t="n"/>
    </row>
    <row r="404">
      <c r="A404" s="20" t="n"/>
      <c r="B404" s="21" t="n"/>
      <c r="C404" s="20" t="n"/>
    </row>
    <row r="405">
      <c r="A405" s="20" t="n"/>
      <c r="B405" s="21" t="n"/>
      <c r="C405" s="20" t="n"/>
    </row>
    <row r="406">
      <c r="A406" s="20" t="n"/>
      <c r="B406" s="21" t="n"/>
      <c r="C406" s="20" t="n"/>
    </row>
    <row r="407">
      <c r="A407" s="20" t="n"/>
      <c r="B407" s="21" t="n"/>
      <c r="C407" s="20" t="n"/>
    </row>
    <row r="408">
      <c r="A408" s="20" t="n"/>
      <c r="B408" s="21" t="n"/>
      <c r="C408" s="20" t="n"/>
    </row>
    <row r="409">
      <c r="A409" s="20" t="n"/>
      <c r="B409" s="21" t="n"/>
      <c r="C409" s="20" t="n"/>
    </row>
    <row r="410">
      <c r="A410" s="20" t="n"/>
      <c r="B410" s="21" t="n"/>
      <c r="C410" s="20" t="n"/>
    </row>
    <row r="411">
      <c r="A411" s="20" t="n"/>
      <c r="B411" s="21" t="n"/>
      <c r="C411" s="20" t="n"/>
    </row>
    <row r="412">
      <c r="A412" s="20" t="n"/>
      <c r="B412" s="21" t="n"/>
      <c r="C412" s="20" t="n"/>
    </row>
    <row r="413">
      <c r="A413" s="20" t="n"/>
      <c r="B413" s="21" t="n"/>
      <c r="C413" s="20" t="n"/>
    </row>
    <row r="414">
      <c r="A414" s="20" t="n"/>
      <c r="B414" s="21" t="n"/>
      <c r="C414" s="20" t="n"/>
    </row>
    <row r="415">
      <c r="A415" s="20" t="n"/>
      <c r="B415" s="21" t="n"/>
      <c r="C415" s="20" t="n"/>
    </row>
    <row r="416">
      <c r="A416" s="20" t="n"/>
      <c r="B416" s="21" t="n"/>
      <c r="C416" s="20" t="n"/>
    </row>
    <row r="417">
      <c r="A417" s="20" t="n"/>
      <c r="B417" s="21" t="n"/>
      <c r="C417" s="20" t="n"/>
    </row>
    <row r="418">
      <c r="A418" s="20" t="n"/>
      <c r="B418" s="21" t="n"/>
      <c r="C418" s="20" t="n"/>
    </row>
    <row r="419">
      <c r="A419" s="20" t="n"/>
      <c r="B419" s="21" t="n"/>
      <c r="C419" s="20" t="n"/>
    </row>
    <row r="420">
      <c r="A420" s="20" t="n"/>
      <c r="B420" s="21" t="n"/>
      <c r="C420" s="20" t="n"/>
    </row>
    <row r="421">
      <c r="A421" s="20" t="n"/>
      <c r="B421" s="21" t="n"/>
      <c r="C421" s="20" t="n"/>
    </row>
    <row r="422">
      <c r="A422" s="20" t="n"/>
      <c r="B422" s="21" t="n"/>
      <c r="C422" s="20" t="n"/>
    </row>
    <row r="423">
      <c r="A423" s="20" t="n"/>
      <c r="B423" s="21" t="n"/>
      <c r="C423" s="20" t="n"/>
    </row>
    <row r="424">
      <c r="A424" s="20" t="n"/>
      <c r="B424" s="21" t="n"/>
      <c r="C424" s="20" t="n"/>
    </row>
    <row r="425">
      <c r="A425" s="20" t="n"/>
      <c r="B425" s="21" t="n"/>
      <c r="C425" s="20" t="n"/>
    </row>
    <row r="426">
      <c r="A426" s="20" t="n"/>
      <c r="B426" s="21" t="n"/>
      <c r="C426" s="20" t="n"/>
    </row>
    <row r="427">
      <c r="A427" s="20" t="n"/>
      <c r="B427" s="21" t="n"/>
      <c r="C427" s="20" t="n"/>
    </row>
    <row r="428">
      <c r="A428" s="20" t="n"/>
      <c r="B428" s="21" t="n"/>
      <c r="C428" s="20" t="n"/>
    </row>
    <row r="429">
      <c r="A429" s="20" t="n"/>
      <c r="B429" s="21" t="n"/>
      <c r="C429" s="20" t="n"/>
    </row>
    <row r="430">
      <c r="A430" s="20" t="n"/>
      <c r="B430" s="21" t="n"/>
      <c r="C430" s="20" t="n"/>
    </row>
    <row r="431">
      <c r="A431" s="20" t="n"/>
      <c r="B431" s="21" t="n"/>
      <c r="C431" s="20" t="n"/>
    </row>
    <row r="432">
      <c r="A432" s="20" t="n"/>
      <c r="B432" s="21" t="n"/>
      <c r="C432" s="20" t="n"/>
    </row>
    <row r="433">
      <c r="A433" s="20" t="n"/>
      <c r="B433" s="21" t="n"/>
      <c r="C433" s="20" t="n"/>
    </row>
    <row r="434">
      <c r="A434" s="20" t="n"/>
      <c r="B434" s="21" t="n"/>
      <c r="C434" s="20" t="n"/>
    </row>
    <row r="435">
      <c r="A435" s="20" t="n"/>
      <c r="B435" s="21" t="n"/>
      <c r="C435" s="20" t="n"/>
    </row>
    <row r="436">
      <c r="A436" s="20" t="n"/>
      <c r="B436" s="21" t="n"/>
      <c r="C436" s="20" t="n"/>
    </row>
    <row r="437">
      <c r="A437" s="20" t="n"/>
      <c r="B437" s="21" t="n"/>
      <c r="C437" s="20" t="n"/>
    </row>
    <row r="438">
      <c r="A438" s="20" t="n"/>
      <c r="B438" s="21" t="n"/>
      <c r="C438" s="20" t="n"/>
    </row>
    <row r="439">
      <c r="A439" s="20" t="n"/>
      <c r="B439" s="21" t="n"/>
      <c r="C439" s="20" t="n"/>
    </row>
    <row r="440">
      <c r="A440" s="20" t="n"/>
      <c r="B440" s="21" t="n"/>
      <c r="C440" s="20" t="n"/>
    </row>
    <row r="441">
      <c r="A441" s="20" t="n"/>
      <c r="B441" s="21" t="n"/>
      <c r="C441" s="20" t="n"/>
    </row>
    <row r="442">
      <c r="A442" s="20" t="n"/>
      <c r="B442" s="21" t="n"/>
      <c r="C442" s="20" t="n"/>
    </row>
    <row r="443">
      <c r="A443" s="20" t="n"/>
      <c r="B443" s="21" t="n"/>
      <c r="C443" s="20" t="n"/>
    </row>
    <row r="444">
      <c r="A444" s="20" t="n"/>
      <c r="B444" s="21" t="n"/>
      <c r="C444" s="20" t="n"/>
    </row>
    <row r="445">
      <c r="A445" s="20" t="n"/>
      <c r="B445" s="21" t="n"/>
      <c r="C445" s="20" t="n"/>
    </row>
    <row r="446">
      <c r="A446" s="20" t="n"/>
      <c r="B446" s="21" t="n"/>
      <c r="C446" s="20" t="n"/>
    </row>
    <row r="447">
      <c r="A447" s="20" t="n"/>
      <c r="B447" s="21" t="n"/>
      <c r="C447" s="20" t="n"/>
    </row>
    <row r="448">
      <c r="A448" s="20" t="n"/>
      <c r="B448" s="21" t="n"/>
      <c r="C448" s="20" t="n"/>
    </row>
    <row r="449">
      <c r="A449" s="20" t="n"/>
      <c r="B449" s="21" t="n"/>
      <c r="C449" s="20" t="n"/>
    </row>
    <row r="450">
      <c r="A450" s="20" t="n"/>
      <c r="B450" s="21" t="n"/>
      <c r="C450" s="20" t="n"/>
    </row>
    <row r="451">
      <c r="A451" s="20" t="n"/>
      <c r="B451" s="21" t="n"/>
      <c r="C451" s="20" t="n"/>
    </row>
    <row r="452">
      <c r="A452" s="20" t="n"/>
      <c r="B452" s="21" t="n"/>
      <c r="C452" s="20" t="n"/>
    </row>
    <row r="453">
      <c r="A453" s="20" t="n"/>
      <c r="B453" s="21" t="n"/>
      <c r="C453" s="20" t="n"/>
    </row>
    <row r="454">
      <c r="A454" s="20" t="n"/>
      <c r="B454" s="21" t="n"/>
      <c r="C454" s="20" t="n"/>
    </row>
    <row r="455">
      <c r="A455" s="20" t="n"/>
      <c r="B455" s="21" t="n"/>
      <c r="C455" s="20" t="n"/>
    </row>
    <row r="456">
      <c r="A456" s="20" t="n"/>
      <c r="B456" s="21" t="n"/>
      <c r="C456" s="20" t="n"/>
    </row>
    <row r="457">
      <c r="A457" s="20" t="n"/>
      <c r="B457" s="21" t="n"/>
      <c r="C457" s="20" t="n"/>
    </row>
    <row r="458">
      <c r="A458" s="20" t="n"/>
      <c r="B458" s="21" t="n"/>
      <c r="C458" s="20" t="n"/>
    </row>
    <row r="459">
      <c r="A459" s="20" t="n"/>
      <c r="B459" s="21" t="n"/>
      <c r="C459" s="20" t="n"/>
    </row>
    <row r="460">
      <c r="A460" s="20" t="n"/>
      <c r="B460" s="21" t="n"/>
      <c r="C460" s="20" t="n"/>
    </row>
    <row r="461">
      <c r="A461" s="20" t="n"/>
      <c r="B461" s="21" t="n"/>
      <c r="C461" s="20" t="n"/>
    </row>
    <row r="462">
      <c r="A462" s="20" t="n"/>
      <c r="B462" s="21" t="n"/>
      <c r="C462" s="20" t="n"/>
    </row>
    <row r="463">
      <c r="A463" s="20" t="n"/>
      <c r="B463" s="21" t="n"/>
      <c r="C463" s="20" t="n"/>
    </row>
    <row r="464">
      <c r="A464" s="20" t="n"/>
      <c r="B464" s="21" t="n"/>
      <c r="C464" s="20" t="n"/>
    </row>
    <row r="465">
      <c r="A465" s="20" t="n"/>
      <c r="B465" s="21" t="n"/>
      <c r="C465" s="20" t="n"/>
    </row>
    <row r="466">
      <c r="A466" s="20" t="n"/>
      <c r="B466" s="21" t="n"/>
      <c r="C466" s="20" t="n"/>
    </row>
    <row r="467">
      <c r="A467" s="20" t="n"/>
      <c r="B467" s="21" t="n"/>
      <c r="C467" s="20" t="n"/>
    </row>
    <row r="468">
      <c r="A468" s="20" t="n"/>
      <c r="B468" s="21" t="n"/>
      <c r="C468" s="20" t="n"/>
    </row>
    <row r="469">
      <c r="A469" s="20" t="n"/>
      <c r="B469" s="21" t="n"/>
      <c r="C469" s="20" t="n"/>
    </row>
    <row r="470">
      <c r="A470" s="20" t="n"/>
      <c r="B470" s="21" t="n"/>
      <c r="C470" s="20" t="n"/>
    </row>
    <row r="471">
      <c r="A471" s="20" t="n"/>
      <c r="B471" s="21" t="n"/>
      <c r="C471" s="20" t="n"/>
    </row>
    <row r="472">
      <c r="A472" s="20" t="n"/>
      <c r="B472" s="21" t="n"/>
      <c r="C472" s="20" t="n"/>
    </row>
    <row r="473">
      <c r="A473" s="20" t="n"/>
      <c r="B473" s="21" t="n"/>
      <c r="C473" s="20" t="n"/>
    </row>
    <row r="474">
      <c r="A474" s="20" t="n"/>
      <c r="B474" s="21" t="n"/>
      <c r="C474" s="20" t="n"/>
    </row>
    <row r="475">
      <c r="A475" s="20" t="n"/>
      <c r="B475" s="21" t="n"/>
      <c r="C475" s="20" t="n"/>
    </row>
    <row r="476">
      <c r="A476" s="20" t="n"/>
      <c r="B476" s="21" t="n"/>
      <c r="C476" s="20" t="n"/>
    </row>
    <row r="477">
      <c r="A477" s="20" t="n"/>
      <c r="B477" s="21" t="n"/>
      <c r="C477" s="20" t="n"/>
    </row>
    <row r="478">
      <c r="A478" s="20" t="n"/>
      <c r="B478" s="21" t="n"/>
      <c r="C478" s="20" t="n"/>
    </row>
    <row r="479">
      <c r="A479" s="20" t="n"/>
      <c r="B479" s="21" t="n"/>
      <c r="C479" s="20" t="n"/>
    </row>
    <row r="480">
      <c r="A480" s="20" t="n"/>
      <c r="B480" s="21" t="n"/>
      <c r="C480" s="20" t="n"/>
    </row>
    <row r="481">
      <c r="A481" s="20" t="n"/>
      <c r="B481" s="21" t="n"/>
      <c r="C481" s="20" t="n"/>
    </row>
    <row r="482">
      <c r="A482" s="20" t="n"/>
      <c r="B482" s="21" t="n"/>
      <c r="C482" s="20" t="n"/>
    </row>
    <row r="483">
      <c r="A483" s="20" t="n"/>
      <c r="B483" s="21" t="n"/>
      <c r="C483" s="20" t="n"/>
    </row>
    <row r="484">
      <c r="A484" s="20" t="n"/>
      <c r="B484" s="21" t="n"/>
      <c r="C484" s="20" t="n"/>
    </row>
    <row r="485">
      <c r="A485" s="20" t="n"/>
      <c r="B485" s="21" t="n"/>
      <c r="C485" s="20" t="n"/>
    </row>
    <row r="486">
      <c r="A486" s="20" t="n"/>
      <c r="B486" s="21" t="n"/>
      <c r="C486" s="20" t="n"/>
    </row>
    <row r="487">
      <c r="A487" s="20" t="n"/>
      <c r="B487" s="21" t="n"/>
      <c r="C487" s="20" t="n"/>
    </row>
    <row r="488">
      <c r="A488" s="20" t="n"/>
      <c r="B488" s="21" t="n"/>
      <c r="C488" s="20" t="n"/>
    </row>
    <row r="489">
      <c r="A489" s="20" t="n"/>
      <c r="B489" s="21" t="n"/>
      <c r="C489" s="20" t="n"/>
    </row>
    <row r="490">
      <c r="A490" s="20" t="n"/>
      <c r="B490" s="21" t="n"/>
      <c r="C490" s="20" t="n"/>
    </row>
    <row r="491">
      <c r="A491" s="20" t="n"/>
      <c r="B491" s="21" t="n"/>
      <c r="C491" s="20" t="n"/>
    </row>
    <row r="492">
      <c r="A492" s="20" t="n"/>
      <c r="B492" s="21" t="n"/>
      <c r="C492" s="20" t="n"/>
    </row>
    <row r="493">
      <c r="A493" s="20" t="n"/>
      <c r="B493" s="21" t="n"/>
      <c r="C493" s="20" t="n"/>
    </row>
    <row r="494">
      <c r="A494" s="20" t="n"/>
      <c r="B494" s="21" t="n"/>
      <c r="C494" s="20" t="n"/>
    </row>
    <row r="495">
      <c r="A495" s="20" t="n"/>
      <c r="B495" s="21" t="n"/>
      <c r="C495" s="20" t="n"/>
    </row>
    <row r="496">
      <c r="A496" s="20" t="n"/>
      <c r="B496" s="21" t="n"/>
      <c r="C496" s="20" t="n"/>
    </row>
    <row r="497">
      <c r="A497" s="20" t="n"/>
      <c r="B497" s="21" t="n"/>
      <c r="C497" s="20" t="n"/>
    </row>
    <row r="498">
      <c r="A498" s="20" t="n"/>
      <c r="B498" s="21" t="n"/>
      <c r="C498" s="20" t="n"/>
    </row>
    <row r="499">
      <c r="A499" s="20" t="n"/>
      <c r="B499" s="21" t="n"/>
      <c r="C499" s="20" t="n"/>
    </row>
    <row r="500">
      <c r="A500" s="20" t="n"/>
      <c r="B500" s="21" t="n"/>
      <c r="C500" s="20" t="n"/>
    </row>
    <row r="501">
      <c r="A501" s="20" t="n"/>
      <c r="B501" s="21" t="n"/>
      <c r="C501" s="20" t="n"/>
    </row>
    <row r="502">
      <c r="A502" s="20" t="n"/>
      <c r="B502" s="21" t="n"/>
      <c r="C502" s="20" t="n"/>
    </row>
    <row r="503">
      <c r="A503" s="20" t="n"/>
      <c r="B503" s="21" t="n"/>
      <c r="C503" s="20" t="n"/>
    </row>
    <row r="504">
      <c r="A504" s="20" t="n"/>
      <c r="B504" s="21" t="n"/>
      <c r="C504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Resolvo Já</dc:creator>
  <dc:title xmlns:dc="http://purl.org/dc/elements/1.1/">gestao-de-pedidos</dc:title>
  <dcterms:created xmlns:dcterms="http://purl.org/dc/terms/" xmlns:xsi="http://www.w3.org/2001/XMLSchema-instance" xsi:type="dcterms:W3CDTF">2026-10-04T21:08:13Z</dcterms:created>
  <dcterms:modified xmlns:dcterms="http://purl.org/dc/terms/" xmlns:xsi="http://www.w3.org/2001/XMLSchema-instance" xsi:type="dcterms:W3CDTF">2026-10-04T21:08:13Z</dcterms:modified>
</cp:coreProperties>
</file>